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進行表" sheetId="1" state="visible" r:id="rId3"/>
    <sheet name="使い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<sst xmlns="http://schemas.openxmlformats.org/spreadsheetml/2006/main" count="76" uniqueCount="76">
  <si>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r>
      <rPr>
        <b val="true"/>
        <sz val="18"/>
        <color rgb="FFFFFFFF"/>
        <rFont val="Arial"/>
        <family val="0"/>
        <charset val="1"/>
      </rPr>
      <t xml:space="preserve">🍓 YouTube</t>
    </r>
    <r>
      <rPr>
        <b val="true"/>
        <sz val="18"/>
        <color rgb="FFFFFFFF"/>
        <rFont val="DejaVu Sans"/>
        <family val="2"/>
      </rPr>
      <t xml:space="preserve">動画 編集進行表</t>
    </r>
  </si>
  <si>
    <r>
      <rPr>
        <i val="true"/>
        <sz val="10"/>
        <color rgb="FF6B7280"/>
        <rFont val="DejaVu Sans"/>
        <family val="2"/>
      </rPr>
      <t xml:space="preserve">ストロベリーボーイズ運用 </t>
    </r>
    <r>
      <rPr>
        <i val="true"/>
        <sz val="10"/>
        <color rgb="FF6B7280"/>
        <rFont val="Arial"/>
        <family val="0"/>
        <charset val="1"/>
      </rPr>
      <t xml:space="preserve">/ 1</t>
    </r>
    <r>
      <rPr>
        <i val="true"/>
        <sz val="10"/>
        <color rgb="FF6B7280"/>
        <rFont val="DejaVu Sans"/>
        <family val="2"/>
      </rPr>
      <t xml:space="preserve">動画ごとに複製して使用</t>
    </r>
  </si>
  <si>
    <t xml:space="preserve">動画タイトル</t>
  </si>
  <si>
    <r>
      <rPr>
        <sz val="11"/>
        <color rgb="FF1F2937"/>
        <rFont val="DejaVu Sans"/>
        <family val="2"/>
      </rPr>
      <t xml:space="preserve">（例）スタッフ全員でルーレット質問</t>
    </r>
    <r>
      <rPr>
        <sz val="11"/>
        <color rgb="FF1F2937"/>
        <rFont val="Arial"/>
        <family val="0"/>
        <charset val="1"/>
      </rPr>
      <t xml:space="preserve">100</t>
    </r>
    <r>
      <rPr>
        <sz val="11"/>
        <color rgb="FF1F2937"/>
        <rFont val="DejaVu Sans"/>
        <family val="2"/>
      </rPr>
      <t xml:space="preserve">連発！</t>
    </r>
  </si>
  <si>
    <t xml:space="preserve">企画日</t>
  </si>
  <si>
    <t xml:space="preserve">2026/05/12</t>
  </si>
  <si>
    <t xml:space="preserve">撮影日</t>
  </si>
  <si>
    <t xml:space="preserve">目標公開日</t>
  </si>
  <si>
    <t xml:space="preserve">メイン担当</t>
  </si>
  <si>
    <t xml:space="preserve">編集担当</t>
  </si>
  <si>
    <t xml:space="preserve">現在ステータス</t>
  </si>
  <si>
    <t xml:space="preserve">企画中</t>
  </si>
  <si>
    <t xml:space="preserve">全体進捗</t>
  </si>
  <si>
    <t xml:space="preserve">フェーズ</t>
  </si>
  <si>
    <t xml:space="preserve">タスク</t>
  </si>
  <si>
    <t xml:space="preserve">✓ 完了</t>
  </si>
  <si>
    <t xml:space="preserve">担当</t>
  </si>
  <si>
    <t xml:space="preserve">期限</t>
  </si>
  <si>
    <t xml:space="preserve">メモ</t>
  </si>
  <si>
    <r>
      <rPr>
        <b val="true"/>
        <sz val="12"/>
        <color rgb="FFD63384"/>
        <rFont val="Arial"/>
        <family val="0"/>
        <charset val="1"/>
      </rPr>
      <t xml:space="preserve">Phase 1</t>
    </r>
    <r>
      <rPr>
        <b val="true"/>
        <sz val="12"/>
        <color rgb="FFD63384"/>
        <rFont val="DejaVu Sans"/>
        <family val="2"/>
      </rPr>
      <t xml:space="preserve">｜企画・準備</t>
    </r>
  </si>
  <si>
    <r>
      <rPr>
        <sz val="11"/>
        <color rgb="FF1F2937"/>
        <rFont val="DejaVu Sans"/>
        <family val="2"/>
      </rPr>
      <t xml:space="preserve">企画ネタ決定（企画書</t>
    </r>
    <r>
      <rPr>
        <sz val="11"/>
        <color rgb="FF1F2937"/>
        <rFont val="Arial"/>
        <family val="0"/>
        <charset val="1"/>
      </rPr>
      <t xml:space="preserve">1</t>
    </r>
    <r>
      <rPr>
        <sz val="11"/>
        <color rgb="FF1F2937"/>
        <rFont val="DejaVu Sans"/>
        <family val="2"/>
      </rPr>
      <t xml:space="preserve">行サマリーまで）</t>
    </r>
  </si>
  <si>
    <t xml:space="preserve">構成・台本作成（流れ・トーク内容）</t>
  </si>
  <si>
    <t xml:space="preserve">出演スタッフ決定・スケジュール調整</t>
  </si>
  <si>
    <t xml:space="preserve">撮影場所・小道具・衣装の準備</t>
  </si>
  <si>
    <r>
      <rPr>
        <sz val="11"/>
        <color rgb="FF1F2937"/>
        <rFont val="DejaVu Sans"/>
        <family val="2"/>
      </rPr>
      <t xml:space="preserve">撮影機材チェック（カメラ・マイク・照明・</t>
    </r>
    <r>
      <rPr>
        <sz val="11"/>
        <color rgb="FF1F2937"/>
        <rFont val="Arial"/>
        <family val="0"/>
        <charset val="1"/>
      </rPr>
      <t xml:space="preserve">SD</t>
    </r>
    <r>
      <rPr>
        <sz val="11"/>
        <color rgb="FF1F2937"/>
        <rFont val="DejaVu Sans"/>
        <family val="2"/>
      </rPr>
      <t xml:space="preserve">カード）</t>
    </r>
  </si>
  <si>
    <r>
      <rPr>
        <b val="true"/>
        <sz val="12"/>
        <color rgb="FFD63384"/>
        <rFont val="Arial"/>
        <family val="0"/>
        <charset val="1"/>
      </rPr>
      <t xml:space="preserve">Phase 2</t>
    </r>
    <r>
      <rPr>
        <b val="true"/>
        <sz val="12"/>
        <color rgb="FFD63384"/>
        <rFont val="DejaVu Sans"/>
        <family val="2"/>
      </rPr>
      <t xml:space="preserve">｜撮影</t>
    </r>
  </si>
  <si>
    <t xml:space="preserve">撮影実行</t>
  </si>
  <si>
    <t xml:space="preserve">撮り直し・追加撮影の判断</t>
  </si>
  <si>
    <r>
      <rPr>
        <sz val="11"/>
        <color rgb="FF1F2937"/>
        <rFont val="DejaVu Sans"/>
        <family val="2"/>
      </rPr>
      <t xml:space="preserve">素材を編集</t>
    </r>
    <r>
      <rPr>
        <sz val="11"/>
        <color rgb="FF1F2937"/>
        <rFont val="Arial"/>
        <family val="0"/>
        <charset val="1"/>
      </rPr>
      <t xml:space="preserve">PC</t>
    </r>
    <r>
      <rPr>
        <sz val="11"/>
        <color rgb="FF1F2937"/>
        <rFont val="DejaVu Sans"/>
        <family val="2"/>
      </rPr>
      <t xml:space="preserve">にバックアップ（</t>
    </r>
    <r>
      <rPr>
        <sz val="11"/>
        <color rgb="FF1F2937"/>
        <rFont val="Arial"/>
        <family val="0"/>
        <charset val="1"/>
      </rPr>
      <t xml:space="preserve">2</t>
    </r>
    <r>
      <rPr>
        <sz val="11"/>
        <color rgb="FF1F2937"/>
        <rFont val="DejaVu Sans"/>
        <family val="2"/>
      </rPr>
      <t xml:space="preserve">箇所保存）</t>
    </r>
  </si>
  <si>
    <t xml:space="preserve">撮影メモ・面白かった箇所のタイムコード記録</t>
  </si>
  <si>
    <r>
      <rPr>
        <b val="true"/>
        <sz val="12"/>
        <color rgb="FFD63384"/>
        <rFont val="Arial"/>
        <family val="0"/>
        <charset val="1"/>
      </rPr>
      <t xml:space="preserve">Phase 3</t>
    </r>
    <r>
      <rPr>
        <b val="true"/>
        <sz val="12"/>
        <color rgb="FFD63384"/>
        <rFont val="DejaVu Sans"/>
        <family val="2"/>
      </rPr>
      <t xml:space="preserve">｜編集</t>
    </r>
  </si>
  <si>
    <t xml:space="preserve">素材整理・プロジェクト作成・取り込み</t>
  </si>
  <si>
    <r>
      <rPr>
        <sz val="11"/>
        <color rgb="FF1F2937"/>
        <rFont val="DejaVu Sans"/>
        <family val="2"/>
      </rPr>
      <t xml:space="preserve">ラフカット（</t>
    </r>
    <r>
      <rPr>
        <sz val="11"/>
        <color rgb="FF1F2937"/>
        <rFont val="Arial"/>
        <family val="0"/>
        <charset val="1"/>
      </rPr>
      <t xml:space="preserve">NG</t>
    </r>
    <r>
      <rPr>
        <sz val="11"/>
        <color rgb="FF1F2937"/>
        <rFont val="DejaVu Sans"/>
        <family val="2"/>
      </rPr>
      <t xml:space="preserve">・無音・冗長部分カット）</t>
    </r>
  </si>
  <si>
    <t xml:space="preserve">本編集（テンポ・尺・順番の調整）</t>
  </si>
  <si>
    <t xml:space="preserve">テロップ・字幕入れ</t>
  </si>
  <si>
    <r>
      <rPr>
        <sz val="11"/>
        <color rgb="FF1F2937"/>
        <rFont val="Arial"/>
        <family val="0"/>
        <charset val="1"/>
      </rPr>
      <t xml:space="preserve">BGM</t>
    </r>
    <r>
      <rPr>
        <sz val="11"/>
        <color rgb="FF1F2937"/>
        <rFont val="DejaVu Sans"/>
        <family val="2"/>
      </rPr>
      <t xml:space="preserve">選定・配置（著作権チェック含む）</t>
    </r>
  </si>
  <si>
    <r>
      <rPr>
        <sz val="11"/>
        <color rgb="FF1F2937"/>
        <rFont val="DejaVu Sans"/>
        <family val="2"/>
      </rPr>
      <t xml:space="preserve">効果音（</t>
    </r>
    <r>
      <rPr>
        <sz val="11"/>
        <color rgb="FF1F2937"/>
        <rFont val="Arial"/>
        <family val="0"/>
        <charset val="1"/>
      </rPr>
      <t xml:space="preserve">SE</t>
    </r>
    <r>
      <rPr>
        <sz val="11"/>
        <color rgb="FF1F2937"/>
        <rFont val="DejaVu Sans"/>
        <family val="2"/>
      </rPr>
      <t xml:space="preserve">）追加</t>
    </r>
  </si>
  <si>
    <t xml:space="preserve">オープニング・エンディング挿入</t>
  </si>
  <si>
    <t xml:space="preserve">カラー・音量バランス最終調整</t>
  </si>
  <si>
    <r>
      <rPr>
        <b val="true"/>
        <sz val="12"/>
        <color rgb="FFD63384"/>
        <rFont val="Arial"/>
        <family val="0"/>
        <charset val="1"/>
      </rPr>
      <t xml:space="preserve">Phase 4</t>
    </r>
    <r>
      <rPr>
        <b val="true"/>
        <sz val="12"/>
        <color rgb="FFD63384"/>
        <rFont val="DejaVu Sans"/>
        <family val="2"/>
      </rPr>
      <t xml:space="preserve">｜仕上げ</t>
    </r>
  </si>
  <si>
    <r>
      <rPr>
        <sz val="11"/>
        <color rgb="FF1F2937"/>
        <rFont val="DejaVu Sans"/>
        <family val="2"/>
      </rPr>
      <t xml:space="preserve">サムネイル作成（</t>
    </r>
    <r>
      <rPr>
        <sz val="11"/>
        <color rgb="FF1F2937"/>
        <rFont val="Arial"/>
        <family val="0"/>
        <charset val="1"/>
      </rPr>
      <t xml:space="preserve">A/B</t>
    </r>
    <r>
      <rPr>
        <sz val="11"/>
        <color rgb="FF1F2937"/>
        <rFont val="DejaVu Sans"/>
        <family val="2"/>
      </rPr>
      <t xml:space="preserve">案検討）</t>
    </r>
  </si>
  <si>
    <t xml:space="preserve">タイトル決定（クリック率を意識）</t>
  </si>
  <si>
    <t xml:space="preserve">概要欄・タグ・ハッシュタグ作成</t>
  </si>
  <si>
    <t xml:space="preserve">最終チェック（音量・誤字・尺・センシティブ表現）</t>
  </si>
  <si>
    <t xml:space="preserve">動画書き出し（プリセット確認）</t>
  </si>
  <si>
    <r>
      <rPr>
        <b val="true"/>
        <sz val="12"/>
        <color rgb="FFD63384"/>
        <rFont val="Arial"/>
        <family val="0"/>
        <charset val="1"/>
      </rPr>
      <t xml:space="preserve">Phase 5</t>
    </r>
    <r>
      <rPr>
        <b val="true"/>
        <sz val="12"/>
        <color rgb="FFD63384"/>
        <rFont val="DejaVu Sans"/>
        <family val="2"/>
      </rPr>
      <t xml:space="preserve">｜公開・運用</t>
    </r>
  </si>
  <si>
    <r>
      <rPr>
        <sz val="11"/>
        <color rgb="FF1F2937"/>
        <rFont val="Arial"/>
        <family val="0"/>
        <charset val="1"/>
      </rPr>
      <t xml:space="preserve">YouTube</t>
    </r>
    <r>
      <rPr>
        <sz val="11"/>
        <color rgb="FF1F2937"/>
        <rFont val="DejaVu Sans"/>
        <family val="2"/>
      </rPr>
      <t xml:space="preserve">にアップロード（限定公開で確認）</t>
    </r>
  </si>
  <si>
    <t xml:space="preserve">公開日時設定（予約投稿）</t>
  </si>
  <si>
    <t xml:space="preserve">終了画面・カード・チャプター設定</t>
  </si>
  <si>
    <r>
      <rPr>
        <sz val="11"/>
        <color rgb="FF1F2937"/>
        <rFont val="Arial"/>
        <family val="0"/>
        <charset val="1"/>
      </rPr>
      <t xml:space="preserve">X</t>
    </r>
    <r>
      <rPr>
        <sz val="11"/>
        <color rgb="FF1F2937"/>
        <rFont val="DejaVu Sans"/>
        <family val="2"/>
      </rPr>
      <t xml:space="preserve">（</t>
    </r>
    <r>
      <rPr>
        <sz val="11"/>
        <color rgb="FF1F2937"/>
        <rFont val="Arial"/>
        <family val="0"/>
        <charset val="1"/>
      </rPr>
      <t xml:space="preserve">Twitter</t>
    </r>
    <r>
      <rPr>
        <sz val="11"/>
        <color rgb="FF1F2937"/>
        <rFont val="DejaVu Sans"/>
        <family val="2"/>
      </rPr>
      <t xml:space="preserve">）告知投稿</t>
    </r>
  </si>
  <si>
    <r>
      <rPr>
        <sz val="11"/>
        <color rgb="FF1F2937"/>
        <rFont val="Arial"/>
        <family val="0"/>
        <charset val="1"/>
      </rPr>
      <t xml:space="preserve">Instagram</t>
    </r>
    <r>
      <rPr>
        <sz val="11"/>
        <color rgb="FF1F2937"/>
        <rFont val="DejaVu Sans"/>
        <family val="2"/>
      </rPr>
      <t xml:space="preserve">ストーリー告知</t>
    </r>
  </si>
  <si>
    <r>
      <rPr>
        <sz val="11"/>
        <color rgb="FF1F2937"/>
        <rFont val="DejaVu Sans"/>
        <family val="2"/>
      </rPr>
      <t xml:space="preserve">コメント返信（公開</t>
    </r>
    <r>
      <rPr>
        <sz val="11"/>
        <color rgb="FF1F2937"/>
        <rFont val="Arial"/>
        <family val="0"/>
        <charset val="1"/>
      </rPr>
      <t xml:space="preserve">24</t>
    </r>
    <r>
      <rPr>
        <sz val="11"/>
        <color rgb="FF1F2937"/>
        <rFont val="DejaVu Sans"/>
        <family val="2"/>
      </rPr>
      <t xml:space="preserve">時間以内）</t>
    </r>
  </si>
  <si>
    <r>
      <rPr>
        <sz val="11"/>
        <color rgb="FF1F2937"/>
        <rFont val="Arial"/>
        <family val="0"/>
        <charset val="1"/>
      </rPr>
      <t xml:space="preserve">1</t>
    </r>
    <r>
      <rPr>
        <sz val="11"/>
        <color rgb="FF1F2937"/>
        <rFont val="DejaVu Sans"/>
        <family val="2"/>
      </rPr>
      <t xml:space="preserve">週間後の数値チェック（再生数・視聴維持率・</t>
    </r>
    <r>
      <rPr>
        <sz val="11"/>
        <color rgb="FF1F2937"/>
        <rFont val="Arial"/>
        <family val="0"/>
        <charset val="1"/>
      </rPr>
      <t xml:space="preserve">CTR</t>
    </r>
    <r>
      <rPr>
        <sz val="11"/>
        <color rgb="FF1F2937"/>
        <rFont val="DejaVu Sans"/>
        <family val="2"/>
      </rPr>
      <t xml:space="preserve">）</t>
    </r>
  </si>
  <si>
    <t xml:space="preserve">🍓 使い方ガイド</t>
  </si>
  <si>
    <t xml:space="preserve">【基本の使い方】</t>
  </si>
  <si>
    <r>
      <rPr>
        <sz val="11"/>
        <color rgb="FF1F2937"/>
        <rFont val="Arial"/>
        <family val="0"/>
        <charset val="1"/>
      </rPr>
      <t xml:space="preserve">1. </t>
    </r>
    <r>
      <rPr>
        <sz val="11"/>
        <color rgb="FF1F2937"/>
        <rFont val="DejaVu Sans"/>
        <family val="2"/>
      </rPr>
      <t xml:space="preserve">新しい動画を作るときは、シートタブ「進行表」を右クリック →「コピー」で複製してください。</t>
    </r>
  </si>
  <si>
    <r>
      <rPr>
        <sz val="11"/>
        <color rgb="FF1F2937"/>
        <rFont val="Arial"/>
        <family val="0"/>
        <charset val="1"/>
      </rPr>
      <t xml:space="preserve">2. </t>
    </r>
    <r>
      <rPr>
        <sz val="11"/>
        <color rgb="FF1F2937"/>
        <rFont val="DejaVu Sans"/>
        <family val="2"/>
      </rPr>
      <t xml:space="preserve">複製したシート名を「</t>
    </r>
    <r>
      <rPr>
        <sz val="11"/>
        <color rgb="FF1F2937"/>
        <rFont val="Arial"/>
        <family val="0"/>
        <charset val="1"/>
      </rPr>
      <t xml:space="preserve">2026-05-15_</t>
    </r>
    <r>
      <rPr>
        <sz val="11"/>
        <color rgb="FF1F2937"/>
        <rFont val="DejaVu Sans"/>
        <family val="2"/>
      </rPr>
      <t xml:space="preserve">ルーレット質問</t>
    </r>
    <r>
      <rPr>
        <sz val="11"/>
        <color rgb="FF1F2937"/>
        <rFont val="Arial"/>
        <family val="0"/>
        <charset val="1"/>
      </rPr>
      <t xml:space="preserve">100</t>
    </r>
    <r>
      <rPr>
        <sz val="11"/>
        <color rgb="FF1F2937"/>
        <rFont val="DejaVu Sans"/>
        <family val="2"/>
      </rPr>
      <t xml:space="preserve">連発」のように動画名に変えると、後で探しやすいです。</t>
    </r>
  </si>
  <si>
    <r>
      <rPr>
        <sz val="11"/>
        <color rgb="FF1F2937"/>
        <rFont val="Arial"/>
        <family val="0"/>
        <charset val="1"/>
      </rPr>
      <t xml:space="preserve">3. </t>
    </r>
    <r>
      <rPr>
        <sz val="11"/>
        <color rgb="FF1F2937"/>
        <rFont val="DejaVu Sans"/>
        <family val="2"/>
      </rPr>
      <t xml:space="preserve">動画情報（タイトル・撮影日など）を埋めてから、上から順にタスクをこなしていきます。</t>
    </r>
  </si>
  <si>
    <t xml:space="preserve">【チェックの付け方】</t>
  </si>
  <si>
    <r>
      <rPr>
        <sz val="11"/>
        <color rgb="FF1F2937"/>
        <rFont val="DejaVu Sans"/>
        <family val="2"/>
      </rPr>
      <t xml:space="preserve">・ ✓ 完了 の列をクリック → ドロップダウンから </t>
    </r>
    <r>
      <rPr>
        <sz val="11"/>
        <color rgb="FF1F2937"/>
        <rFont val="Arial"/>
        <family val="0"/>
        <charset val="1"/>
      </rPr>
      <t xml:space="preserve">TRUE </t>
    </r>
    <r>
      <rPr>
        <sz val="11"/>
        <color rgb="FF1F2937"/>
        <rFont val="DejaVu Sans"/>
        <family val="2"/>
      </rPr>
      <t xml:space="preserve">を選ぶと「完了」、</t>
    </r>
    <r>
      <rPr>
        <sz val="11"/>
        <color rgb="FF1F2937"/>
        <rFont val="Arial"/>
        <family val="0"/>
        <charset val="1"/>
      </rPr>
      <t xml:space="preserve">FALSE </t>
    </r>
    <r>
      <rPr>
        <sz val="11"/>
        <color rgb="FF1F2937"/>
        <rFont val="DejaVu Sans"/>
        <family val="2"/>
      </rPr>
      <t xml:space="preserve">で「未完了」。</t>
    </r>
  </si>
  <si>
    <t xml:space="preserve">・ 完了するとその行が薄い緑色にハイライトされ、上の全体進捗バーと各フェーズの進捗バーが自動で伸びます。</t>
  </si>
  <si>
    <t xml:space="preserve">【優先順位を上げるコツ】</t>
  </si>
  <si>
    <t xml:space="preserve">・「期限」列に各タスクの期限を入れると、後で並び替えや色付けがしやすくなります。</t>
  </si>
  <si>
    <r>
      <rPr>
        <sz val="11"/>
        <color rgb="FF1F2937"/>
        <rFont val="DejaVu Sans"/>
        <family val="2"/>
      </rPr>
      <t xml:space="preserve">・ </t>
    </r>
    <r>
      <rPr>
        <sz val="11"/>
        <color rgb="FF1F2937"/>
        <rFont val="Arial"/>
        <family val="0"/>
        <charset val="1"/>
      </rPr>
      <t xml:space="preserve">1</t>
    </r>
    <r>
      <rPr>
        <sz val="11"/>
        <color rgb="FF1F2937"/>
        <rFont val="DejaVu Sans"/>
        <family val="2"/>
      </rPr>
      <t xml:space="preserve">日の終わりに進行表を開き、進捗バーが少しでも伸びたかを確認するだけで継続しやすくなります。</t>
    </r>
  </si>
  <si>
    <r>
      <rPr>
        <sz val="11"/>
        <color rgb="FF1F2937"/>
        <rFont val="DejaVu Sans"/>
        <family val="2"/>
      </rPr>
      <t xml:space="preserve">・「メモ」列には、編集ソフトのプロジェクト名、サムネ案、参考動画</t>
    </r>
    <r>
      <rPr>
        <sz val="11"/>
        <color rgb="FF1F2937"/>
        <rFont val="Arial"/>
        <family val="0"/>
        <charset val="1"/>
      </rPr>
      <t xml:space="preserve">URL</t>
    </r>
    <r>
      <rPr>
        <sz val="11"/>
        <color rgb="FF1F2937"/>
        <rFont val="DejaVu Sans"/>
        <family val="2"/>
      </rPr>
      <t xml:space="preserve">などを書き留めるのがおすすめ。</t>
    </r>
  </si>
  <si>
    <t xml:space="preserve">【フェーズ構成】</t>
  </si>
  <si>
    <r>
      <rPr>
        <sz val="11"/>
        <color rgb="FF1F2937"/>
        <rFont val="Arial"/>
        <family val="0"/>
        <charset val="1"/>
      </rPr>
      <t xml:space="preserve">Phase 1</t>
    </r>
    <r>
      <rPr>
        <sz val="11"/>
        <color rgb="FF1F2937"/>
        <rFont val="DejaVu Sans"/>
        <family val="2"/>
      </rPr>
      <t xml:space="preserve">｜企画・準備（</t>
    </r>
    <r>
      <rPr>
        <sz val="11"/>
        <color rgb="FF1F2937"/>
        <rFont val="Arial"/>
        <family val="0"/>
        <charset val="1"/>
      </rPr>
      <t xml:space="preserve">5</t>
    </r>
    <r>
      <rPr>
        <sz val="11"/>
        <color rgb="FF1F2937"/>
        <rFont val="DejaVu Sans"/>
        <family val="2"/>
      </rPr>
      <t xml:space="preserve">タスク）</t>
    </r>
  </si>
  <si>
    <r>
      <rPr>
        <sz val="11"/>
        <color rgb="FF1F2937"/>
        <rFont val="Arial"/>
        <family val="0"/>
        <charset val="1"/>
      </rPr>
      <t xml:space="preserve">Phase 2</t>
    </r>
    <r>
      <rPr>
        <sz val="11"/>
        <color rgb="FF1F2937"/>
        <rFont val="DejaVu Sans"/>
        <family val="2"/>
      </rPr>
      <t xml:space="preserve">｜撮影（</t>
    </r>
    <r>
      <rPr>
        <sz val="11"/>
        <color rgb="FF1F2937"/>
        <rFont val="Arial"/>
        <family val="0"/>
        <charset val="1"/>
      </rPr>
      <t xml:space="preserve">4</t>
    </r>
    <r>
      <rPr>
        <sz val="11"/>
        <color rgb="FF1F2937"/>
        <rFont val="DejaVu Sans"/>
        <family val="2"/>
      </rPr>
      <t xml:space="preserve">タスク）</t>
    </r>
  </si>
  <si>
    <r>
      <rPr>
        <sz val="11"/>
        <color rgb="FF1F2937"/>
        <rFont val="Arial"/>
        <family val="0"/>
        <charset val="1"/>
      </rPr>
      <t xml:space="preserve">Phase 3</t>
    </r>
    <r>
      <rPr>
        <sz val="11"/>
        <color rgb="FF1F2937"/>
        <rFont val="DejaVu Sans"/>
        <family val="2"/>
      </rPr>
      <t xml:space="preserve">｜編集（</t>
    </r>
    <r>
      <rPr>
        <sz val="11"/>
        <color rgb="FF1F2937"/>
        <rFont val="Arial"/>
        <family val="0"/>
        <charset val="1"/>
      </rPr>
      <t xml:space="preserve">8</t>
    </r>
    <r>
      <rPr>
        <sz val="11"/>
        <color rgb="FF1F2937"/>
        <rFont val="DejaVu Sans"/>
        <family val="2"/>
      </rPr>
      <t xml:space="preserve">タスク）</t>
    </r>
  </si>
  <si>
    <r>
      <rPr>
        <sz val="11"/>
        <color rgb="FF1F2937"/>
        <rFont val="Arial"/>
        <family val="0"/>
        <charset val="1"/>
      </rPr>
      <t xml:space="preserve">Phase 4</t>
    </r>
    <r>
      <rPr>
        <sz val="11"/>
        <color rgb="FF1F2937"/>
        <rFont val="DejaVu Sans"/>
        <family val="2"/>
      </rPr>
      <t xml:space="preserve">｜仕上げ（</t>
    </r>
    <r>
      <rPr>
        <sz val="11"/>
        <color rgb="FF1F2937"/>
        <rFont val="Arial"/>
        <family val="0"/>
        <charset val="1"/>
      </rPr>
      <t xml:space="preserve">5</t>
    </r>
    <r>
      <rPr>
        <sz val="11"/>
        <color rgb="FF1F2937"/>
        <rFont val="DejaVu Sans"/>
        <family val="2"/>
      </rPr>
      <t xml:space="preserve">タスク）</t>
    </r>
  </si>
  <si>
    <r>
      <rPr>
        <sz val="11"/>
        <color rgb="FF1F2937"/>
        <rFont val="Arial"/>
        <family val="0"/>
        <charset val="1"/>
      </rPr>
      <t xml:space="preserve">Phase 5</t>
    </r>
    <r>
      <rPr>
        <sz val="11"/>
        <color rgb="FF1F2937"/>
        <rFont val="DejaVu Sans"/>
        <family val="2"/>
      </rPr>
      <t xml:space="preserve">｜公開・運用（</t>
    </r>
    <r>
      <rPr>
        <sz val="11"/>
        <color rgb="FF1F2937"/>
        <rFont val="Arial"/>
        <family val="0"/>
        <charset val="1"/>
      </rPr>
      <t xml:space="preserve">7</t>
    </r>
    <r>
      <rPr>
        <sz val="11"/>
        <color rgb="FF1F2937"/>
        <rFont val="DejaVu Sans"/>
        <family val="2"/>
      </rPr>
      <t xml:space="preserve">タスク）</t>
    </r>
  </si>
  <si>
    <r>
      <rPr>
        <sz val="11"/>
        <color rgb="FF6B7280"/>
        <rFont val="DejaVu Sans"/>
        <family val="2"/>
      </rPr>
      <t xml:space="preserve">合計 </t>
    </r>
    <r>
      <rPr>
        <sz val="11"/>
        <color rgb="FF6B7280"/>
        <rFont val="Arial"/>
        <family val="0"/>
        <charset val="1"/>
      </rPr>
      <t xml:space="preserve">29 </t>
    </r>
    <r>
      <rPr>
        <sz val="11"/>
        <color rgb="FF6B7280"/>
        <rFont val="DejaVu Sans"/>
        <family val="2"/>
      </rPr>
      <t xml:space="preserve">タスクで、</t>
    </r>
    <r>
      <rPr>
        <sz val="11"/>
        <color rgb="FF6B7280"/>
        <rFont val="Arial"/>
        <family val="0"/>
        <charset val="1"/>
      </rPr>
      <t xml:space="preserve">1</t>
    </r>
    <r>
      <rPr>
        <sz val="11"/>
        <color rgb="FF6B7280"/>
        <rFont val="DejaVu Sans"/>
        <family val="2"/>
      </rPr>
      <t xml:space="preserve">本の動画が「企画から公開後の振り返り」まで完結します。</t>
    </r>
  </si>
  <si>
    <t xml:space="preserve">【カスタマイズ】</t>
  </si>
  <si>
    <t xml:space="preserve">・ タスク行を増やしたいときは、フェーズ内の途中行を右クリック → 行の挿入。</t>
  </si>
  <si>
    <t xml:space="preserve">・ 行を増やした場合は、進行表の上部の数式（フェーズ進捗・全体進捗）の範囲を広げてください。</t>
  </si>
  <si>
    <t xml:space="preserve">・ 不要なフェーズ（例：撮影なしの素材編集回など）は、タスク行を空にしておくか非表示にすれば大丈夫です。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</si>
</sst>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8"/>
      <color rgb="FFFFFFFF"/>
      <name val="DejaVu Sans"/>
      <family val="2"/>
    </font>
    <font>
      <i val="true"/>
      <sz val="10"/>
      <color rgb="FF6B7280"/>
      <name val="DejaVu Sans"/>
      <family val="2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DejaVu Sans"/>
      <family val="2"/>
    </font>
    <font>
      <sz val="11"/>
      <color rgb="FF1F2937"/>
      <name val="DejaVu Sans"/>
      <family val="2"/>
    </font>
    <font>
      <sz val="11"/>
      <color rgb="FF1F2937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6"/>
      <color rgb="FFD63384"/>
      <name val="Arial"/>
      <family val="0"/>
      <charset val="1"/>
    </font>
    <font>
      <b val="true"/>
      <sz val="14"/>
      <color rgb="FFD63384"/>
      <name val="Consolas"/>
      <family val="0"/>
      <charset val="1"/>
    </font>
    <font>
      <b val="true"/>
      <sz val="11"/>
      <color rgb="FFFFFFFF"/>
      <name val="DejaVu Sans"/>
      <family val="2"/>
    </font>
    <font>
      <b val="true"/>
      <sz val="12"/>
      <color rgb="FFD63384"/>
      <name val="Arial"/>
      <family val="0"/>
      <charset val="1"/>
    </font>
    <font>
      <b val="true"/>
      <sz val="12"/>
      <color rgb="FFD63384"/>
      <name val="DejaVu Sans"/>
      <family val="2"/>
    </font>
    <font>
      <b val="true"/>
      <sz val="11"/>
      <color rgb="FFD63384"/>
      <name val="Arial"/>
      <family val="0"/>
      <charset val="1"/>
    </font>
    <font>
      <b val="true"/>
      <sz val="11"/>
      <color rgb="FFD63384"/>
      <name val="Consolas"/>
      <family val="0"/>
      <charset val="1"/>
    </font>
    <font>
      <sz val="10"/>
      <color rgb="FF1F2937"/>
      <name val="Arial"/>
      <family val="0"/>
      <charset val="1"/>
    </font>
    <font>
      <b val="true"/>
      <sz val="16"/>
      <color rgb="FFD63384"/>
      <name val="DejaVu Sans"/>
      <family val="2"/>
    </font>
    <font>
      <sz val="11"/>
      <color rgb="FF6B7280"/>
      <name val="DejaVu Sans"/>
      <family val="2"/>
    </font>
    <font>
      <sz val="11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3384"/>
        <bgColor rgb="FF993366"/>
      </patternFill>
    </fill>
    <fill>
      <patternFill patternType="solid">
        <fgColor rgb="FFFFFFFF"/>
        <bgColor rgb="FFFDF2F8"/>
      </patternFill>
    </fill>
    <fill>
      <patternFill patternType="solid">
        <fgColor rgb="FFF1F5F9"/>
        <bgColor rgb="FFFDF2F8"/>
      </patternFill>
    </fill>
    <fill>
      <patternFill patternType="solid">
        <fgColor rgb="FFFCE4EC"/>
        <bgColor rgb="FFFDF2F8"/>
      </patternFill>
    </fill>
    <fill>
      <patternFill patternType="solid">
        <fgColor rgb="FFFDF2F8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63384"/>
      <rgbColor rgb="FFFDF2F8"/>
      <rgbColor rgb="FFDCFCE7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5E7E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2</v>
      </c>
      <c r="B3" s="4" t="s">
        <v>3</v>
      </c>
      <c r="C3" s="4"/>
      <c r="D3" s="4"/>
      <c r="E3" s="4"/>
      <c r="F3" s="4"/>
    </row>
    <row r="4" customFormat="false" ht="21.75" hidden="false" customHeight="true" outlineLevel="0" collapsed="false">
      <c r="A4" s="3" t="s">
        <v>4</v>
      </c>
      <c r="B4" s="5" t="s">
        <v>5</v>
      </c>
      <c r="C4" s="3" t="s">
        <v>6</v>
      </c>
      <c r="D4" s="5"/>
      <c r="E4" s="3" t="s">
        <v>7</v>
      </c>
      <c r="F4" s="5"/>
    </row>
    <row r="5" customFormat="false" ht="21.75" hidden="false" customHeight="true" outlineLevel="0" collapsed="false">
      <c r="A5" s="3" t="s">
        <v>8</v>
      </c>
      <c r="B5" s="5"/>
      <c r="C5" s="3" t="s">
        <v>9</v>
      </c>
      <c r="D5" s="5"/>
      <c r="E5" s="3" t="s">
        <v>10</v>
      </c>
      <c r="F5" s="6" t="s">
        <v>11</v>
      </c>
    </row>
    <row r="6" customFormat="false" ht="9.75" hidden="false" customHeight="true" outlineLevel="0" collapsed="false"/>
    <row r="7" customFormat="false" ht="31.5" hidden="false" customHeight="true" outlineLevel="0" collapsed="false">
      <c r="A7" s="7" t="s">
        <v>12</v>
      </c>
      <c r="B7" s="8" t="n">
        <f aca="false">(COUNTIF(C11:C15,TRUE())+COUNTIF(C18:C21,TRUE())+COUNTIF(C24:C31,TRUE())+COUNTIF(C34:C38,TRUE())+COUNTIF(C41:C47,TRUE()))/29</f>
        <v>0</v>
      </c>
      <c r="C7" s="9" t="str">
        <f aca="false">REPT("█",ROUND((COUNTIF(C11:C15,TRUE())+COUNTIF(C18:C21,TRUE())+COUNTIF(C24:C31,TRUE())+COUNTIF(C34:C38,TRUE())+COUNTIF(C41:C47,TRUE()))/29*30,0))&amp;REPT("░",30-ROUND((COUNTIF(C11:C15,TRUE())+COUNTIF(C18:C21,TRUE())+COUNTIF(C24:C31,TRUE())+COUNTIF(C34:C38,TRUE())+COUNTIF(C41:C47,TRUE()))/29*30,0))&amp;"   "&amp;(COUNTIF(C11:C15,TRUE())+COUNTIF(C18:C21,TRUE())+COUNTIF(C24:C31,TRUE())+COUNTIF(C34:C38,TRUE())+COUNTIF(C41:C47,TRUE()))&amp;" / 29 タスク完了"</f>
        <v>░░░░░░░░░░░░░░░░░░░░░░░░░░░░░░   0 / 29 タスク完了</v>
      </c>
      <c r="D7" s="9"/>
      <c r="E7" s="9"/>
      <c r="F7" s="9"/>
    </row>
    <row r="8" customFormat="false" ht="13.5" hidden="false" customHeight="true" outlineLevel="0" collapsed="false"/>
    <row r="9" customFormat="false" ht="25.5" hidden="false" customHeight="true" outlineLevel="0" collapsed="false">
      <c r="A9" s="10" t="s">
        <v>13</v>
      </c>
      <c r="B9" s="10" t="s">
        <v>14</v>
      </c>
      <c r="C9" s="10" t="s">
        <v>15</v>
      </c>
      <c r="D9" s="10" t="s">
        <v>16</v>
      </c>
      <c r="E9" s="10" t="s">
        <v>17</v>
      </c>
      <c r="F9" s="10" t="s">
        <v>18</v>
      </c>
    </row>
    <row r="10" customFormat="false" ht="25.5" hidden="false" customHeight="true" outlineLevel="0" collapsed="false">
      <c r="A10" s="11" t="s">
        <v>19</v>
      </c>
      <c r="B10" s="11"/>
      <c r="C10" s="12" t="str">
        <f aca="false">COUNTIF(C11:C15,TRUE())&amp;" / "&amp;5</f>
        <v>0 / 5</v>
      </c>
      <c r="D10" s="13" t="n">
        <f aca="false">COUNTIF(C11:C15,TRUE())/5</f>
        <v>0</v>
      </c>
      <c r="E10" s="14" t="str">
        <f aca="false">REPT("█",ROUND(COUNTIF(C11:C15,TRUE())/5*16,0))&amp;REPT("░",16-ROUND(COUNTIF(C11:C15,TRUE())/5*16,0))</f>
        <v>░░░░░░░░░░░░░░░░</v>
      </c>
      <c r="F10" s="14"/>
    </row>
    <row r="11" customFormat="false" ht="24" hidden="false" customHeight="true" outlineLevel="0" collapsed="false">
      <c r="A11" s="15"/>
      <c r="B11" s="16" t="s">
        <v>20</v>
      </c>
      <c r="C11" s="17" t="b">
        <f aca="false">FALSE()</f>
        <v>0</v>
      </c>
      <c r="D11" s="18"/>
      <c r="E11" s="18"/>
      <c r="F11" s="18"/>
    </row>
    <row r="12" customFormat="false" ht="24" hidden="false" customHeight="true" outlineLevel="0" collapsed="false">
      <c r="A12" s="15"/>
      <c r="B12" s="16" t="s">
        <v>21</v>
      </c>
      <c r="C12" s="17" t="b">
        <f aca="false">FALSE()</f>
        <v>0</v>
      </c>
      <c r="D12" s="18"/>
      <c r="E12" s="18"/>
      <c r="F12" s="18"/>
    </row>
    <row r="13" customFormat="false" ht="24" hidden="false" customHeight="true" outlineLevel="0" collapsed="false">
      <c r="A13" s="15"/>
      <c r="B13" s="16" t="s">
        <v>22</v>
      </c>
      <c r="C13" s="17" t="b">
        <f aca="false">FALSE()</f>
        <v>0</v>
      </c>
      <c r="D13" s="18"/>
      <c r="E13" s="18"/>
      <c r="F13" s="18"/>
    </row>
    <row r="14" customFormat="false" ht="24" hidden="false" customHeight="true" outlineLevel="0" collapsed="false">
      <c r="A14" s="15"/>
      <c r="B14" s="16" t="s">
        <v>23</v>
      </c>
      <c r="C14" s="17" t="b">
        <f aca="false">FALSE()</f>
        <v>0</v>
      </c>
      <c r="D14" s="18"/>
      <c r="E14" s="18"/>
      <c r="F14" s="18"/>
    </row>
    <row r="15" customFormat="false" ht="24" hidden="false" customHeight="true" outlineLevel="0" collapsed="false">
      <c r="A15" s="15"/>
      <c r="B15" s="16" t="s">
        <v>24</v>
      </c>
      <c r="C15" s="17" t="b">
        <f aca="false">FALSE()</f>
        <v>0</v>
      </c>
      <c r="D15" s="18"/>
      <c r="E15" s="18"/>
      <c r="F15" s="18"/>
    </row>
    <row r="16" customFormat="false" ht="6" hidden="false" customHeight="true" outlineLevel="0" collapsed="false"/>
    <row r="17" customFormat="false" ht="25.5" hidden="false" customHeight="true" outlineLevel="0" collapsed="false">
      <c r="A17" s="11" t="s">
        <v>25</v>
      </c>
      <c r="B17" s="11"/>
      <c r="C17" s="12" t="str">
        <f aca="false">COUNTIF(C18:C21,TRUE())&amp;" / "&amp;4</f>
        <v>0 / 4</v>
      </c>
      <c r="D17" s="13" t="n">
        <f aca="false">COUNTIF(C18:C21,TRUE())/4</f>
        <v>0</v>
      </c>
      <c r="E17" s="14" t="str">
        <f aca="false">REPT("█",ROUND(COUNTIF(C18:C21,TRUE())/4*16,0))&amp;REPT("░",16-ROUND(COUNTIF(C18:C21,TRUE())/4*16,0))</f>
        <v>░░░░░░░░░░░░░░░░</v>
      </c>
      <c r="F17" s="14"/>
    </row>
    <row r="18" customFormat="false" ht="24" hidden="false" customHeight="true" outlineLevel="0" collapsed="false">
      <c r="A18" s="15"/>
      <c r="B18" s="16" t="s">
        <v>26</v>
      </c>
      <c r="C18" s="17" t="b">
        <f aca="false">FALSE()</f>
        <v>0</v>
      </c>
      <c r="D18" s="18"/>
      <c r="E18" s="18"/>
      <c r="F18" s="18"/>
    </row>
    <row r="19" customFormat="false" ht="24" hidden="false" customHeight="true" outlineLevel="0" collapsed="false">
      <c r="A19" s="15"/>
      <c r="B19" s="16" t="s">
        <v>27</v>
      </c>
      <c r="C19" s="17" t="b">
        <f aca="false">FALSE()</f>
        <v>0</v>
      </c>
      <c r="D19" s="18"/>
      <c r="E19" s="18"/>
      <c r="F19" s="18"/>
    </row>
    <row r="20" customFormat="false" ht="24" hidden="false" customHeight="true" outlineLevel="0" collapsed="false">
      <c r="A20" s="15"/>
      <c r="B20" s="16" t="s">
        <v>28</v>
      </c>
      <c r="C20" s="17" t="b">
        <f aca="false">FALSE()</f>
        <v>0</v>
      </c>
      <c r="D20" s="18"/>
      <c r="E20" s="18"/>
      <c r="F20" s="18"/>
    </row>
    <row r="21" customFormat="false" ht="24" hidden="false" customHeight="true" outlineLevel="0" collapsed="false">
      <c r="A21" s="15"/>
      <c r="B21" s="16" t="s">
        <v>29</v>
      </c>
      <c r="C21" s="17" t="b">
        <f aca="false">FALSE()</f>
        <v>0</v>
      </c>
      <c r="D21" s="18"/>
      <c r="E21" s="18"/>
      <c r="F21" s="18"/>
    </row>
    <row r="22" customFormat="false" ht="6" hidden="false" customHeight="true" outlineLevel="0" collapsed="false"/>
    <row r="23" customFormat="false" ht="25.5" hidden="false" customHeight="true" outlineLevel="0" collapsed="false">
      <c r="A23" s="11" t="s">
        <v>30</v>
      </c>
      <c r="B23" s="11"/>
      <c r="C23" s="12" t="str">
        <f aca="false">COUNTIF(C24:C31,TRUE())&amp;" / "&amp;8</f>
        <v>0 / 8</v>
      </c>
      <c r="D23" s="13" t="n">
        <f aca="false">COUNTIF(C24:C31,TRUE())/8</f>
        <v>0</v>
      </c>
      <c r="E23" s="14" t="str">
        <f aca="false">REPT("█",ROUND(COUNTIF(C24:C31,TRUE())/8*16,0))&amp;REPT("░",16-ROUND(COUNTIF(C24:C31,TRUE())/8*16,0))</f>
        <v>░░░░░░░░░░░░░░░░</v>
      </c>
      <c r="F23" s="14"/>
    </row>
    <row r="24" customFormat="false" ht="24" hidden="false" customHeight="true" outlineLevel="0" collapsed="false">
      <c r="A24" s="15"/>
      <c r="B24" s="16" t="s">
        <v>31</v>
      </c>
      <c r="C24" s="17" t="b">
        <f aca="false">FALSE()</f>
        <v>0</v>
      </c>
      <c r="D24" s="18"/>
      <c r="E24" s="18"/>
      <c r="F24" s="18"/>
    </row>
    <row r="25" customFormat="false" ht="24" hidden="false" customHeight="true" outlineLevel="0" collapsed="false">
      <c r="A25" s="15"/>
      <c r="B25" s="16" t="s">
        <v>32</v>
      </c>
      <c r="C25" s="17" t="b">
        <f aca="false">FALSE()</f>
        <v>0</v>
      </c>
      <c r="D25" s="18"/>
      <c r="E25" s="18"/>
      <c r="F25" s="18"/>
    </row>
    <row r="26" customFormat="false" ht="24" hidden="false" customHeight="true" outlineLevel="0" collapsed="false">
      <c r="A26" s="15"/>
      <c r="B26" s="16" t="s">
        <v>33</v>
      </c>
      <c r="C26" s="17" t="b">
        <f aca="false">FALSE()</f>
        <v>0</v>
      </c>
      <c r="D26" s="18"/>
      <c r="E26" s="18"/>
      <c r="F26" s="18"/>
    </row>
    <row r="27" customFormat="false" ht="24" hidden="false" customHeight="true" outlineLevel="0" collapsed="false">
      <c r="A27" s="15"/>
      <c r="B27" s="16" t="s">
        <v>34</v>
      </c>
      <c r="C27" s="17" t="b">
        <f aca="false">FALSE()</f>
        <v>0</v>
      </c>
      <c r="D27" s="18"/>
      <c r="E27" s="18"/>
      <c r="F27" s="18"/>
    </row>
    <row r="28" customFormat="false" ht="24" hidden="false" customHeight="true" outlineLevel="0" collapsed="false">
      <c r="A28" s="15"/>
      <c r="B28" s="19" t="s">
        <v>35</v>
      </c>
      <c r="C28" s="17" t="b">
        <f aca="false">FALSE()</f>
        <v>0</v>
      </c>
      <c r="D28" s="18"/>
      <c r="E28" s="18"/>
      <c r="F28" s="18"/>
    </row>
    <row r="29" customFormat="false" ht="24" hidden="false" customHeight="true" outlineLevel="0" collapsed="false">
      <c r="A29" s="15"/>
      <c r="B29" s="16" t="s">
        <v>36</v>
      </c>
      <c r="C29" s="17" t="b">
        <f aca="false">FALSE()</f>
        <v>0</v>
      </c>
      <c r="D29" s="18"/>
      <c r="E29" s="18"/>
      <c r="F29" s="18"/>
    </row>
    <row r="30" customFormat="false" ht="24" hidden="false" customHeight="true" outlineLevel="0" collapsed="false">
      <c r="A30" s="15"/>
      <c r="B30" s="16" t="s">
        <v>37</v>
      </c>
      <c r="C30" s="17" t="b">
        <f aca="false">FALSE()</f>
        <v>0</v>
      </c>
      <c r="D30" s="18"/>
      <c r="E30" s="18"/>
      <c r="F30" s="18"/>
    </row>
    <row r="31" customFormat="false" ht="24" hidden="false" customHeight="true" outlineLevel="0" collapsed="false">
      <c r="A31" s="15"/>
      <c r="B31" s="16" t="s">
        <v>38</v>
      </c>
      <c r="C31" s="17" t="b">
        <f aca="false">FALSE()</f>
        <v>0</v>
      </c>
      <c r="D31" s="18"/>
      <c r="E31" s="18"/>
      <c r="F31" s="18"/>
    </row>
    <row r="32" customFormat="false" ht="6" hidden="false" customHeight="true" outlineLevel="0" collapsed="false"/>
    <row r="33" customFormat="false" ht="25.5" hidden="false" customHeight="true" outlineLevel="0" collapsed="false">
      <c r="A33" s="11" t="s">
        <v>39</v>
      </c>
      <c r="B33" s="11"/>
      <c r="C33" s="12" t="str">
        <f aca="false">COUNTIF(C34:C38,TRUE())&amp;" / "&amp;5</f>
        <v>0 / 5</v>
      </c>
      <c r="D33" s="13" t="n">
        <f aca="false">COUNTIF(C34:C38,TRUE())/5</f>
        <v>0</v>
      </c>
      <c r="E33" s="14" t="str">
        <f aca="false">REPT("█",ROUND(COUNTIF(C34:C38,TRUE())/5*16,0))&amp;REPT("░",16-ROUND(COUNTIF(C34:C38,TRUE())/5*16,0))</f>
        <v>░░░░░░░░░░░░░░░░</v>
      </c>
      <c r="F33" s="14"/>
    </row>
    <row r="34" customFormat="false" ht="24" hidden="false" customHeight="true" outlineLevel="0" collapsed="false">
      <c r="A34" s="15"/>
      <c r="B34" s="16" t="s">
        <v>40</v>
      </c>
      <c r="C34" s="17" t="b">
        <f aca="false">FALSE()</f>
        <v>0</v>
      </c>
      <c r="D34" s="18"/>
      <c r="E34" s="18"/>
      <c r="F34" s="18"/>
    </row>
    <row r="35" customFormat="false" ht="24" hidden="false" customHeight="true" outlineLevel="0" collapsed="false">
      <c r="A35" s="15"/>
      <c r="B35" s="16" t="s">
        <v>41</v>
      </c>
      <c r="C35" s="17" t="b">
        <f aca="false">FALSE()</f>
        <v>0</v>
      </c>
      <c r="D35" s="18"/>
      <c r="E35" s="18"/>
      <c r="F35" s="18"/>
    </row>
    <row r="36" customFormat="false" ht="24" hidden="false" customHeight="true" outlineLevel="0" collapsed="false">
      <c r="A36" s="15"/>
      <c r="B36" s="16" t="s">
        <v>42</v>
      </c>
      <c r="C36" s="17" t="b">
        <f aca="false">FALSE()</f>
        <v>0</v>
      </c>
      <c r="D36" s="18"/>
      <c r="E36" s="18"/>
      <c r="F36" s="18"/>
    </row>
    <row r="37" customFormat="false" ht="24" hidden="false" customHeight="true" outlineLevel="0" collapsed="false">
      <c r="A37" s="15"/>
      <c r="B37" s="16" t="s">
        <v>43</v>
      </c>
      <c r="C37" s="17" t="b">
        <f aca="false">FALSE()</f>
        <v>0</v>
      </c>
      <c r="D37" s="18"/>
      <c r="E37" s="18"/>
      <c r="F37" s="18"/>
    </row>
    <row r="38" customFormat="false" ht="24" hidden="false" customHeight="true" outlineLevel="0" collapsed="false">
      <c r="A38" s="15"/>
      <c r="B38" s="16" t="s">
        <v>44</v>
      </c>
      <c r="C38" s="17" t="b">
        <f aca="false">FALSE()</f>
        <v>0</v>
      </c>
      <c r="D38" s="18"/>
      <c r="E38" s="18"/>
      <c r="F38" s="18"/>
    </row>
    <row r="39" customFormat="false" ht="6" hidden="false" customHeight="true" outlineLevel="0" collapsed="false"/>
    <row r="40" customFormat="false" ht="25.5" hidden="false" customHeight="true" outlineLevel="0" collapsed="false">
      <c r="A40" s="11" t="s">
        <v>45</v>
      </c>
      <c r="B40" s="11"/>
      <c r="C40" s="12" t="str">
        <f aca="false">COUNTIF(C41:C47,TRUE())&amp;" / "&amp;7</f>
        <v>0 / 7</v>
      </c>
      <c r="D40" s="13" t="n">
        <f aca="false">COUNTIF(C41:C47,TRUE())/7</f>
        <v>0</v>
      </c>
      <c r="E40" s="14" t="str">
        <f aca="false">REPT("█",ROUND(COUNTIF(C41:C47,TRUE())/7*16,0))&amp;REPT("░",16-ROUND(COUNTIF(C41:C47,TRUE())/7*16,0))</f>
        <v>░░░░░░░░░░░░░░░░</v>
      </c>
      <c r="F40" s="14"/>
    </row>
    <row r="41" customFormat="false" ht="24" hidden="false" customHeight="true" outlineLevel="0" collapsed="false">
      <c r="A41" s="15"/>
      <c r="B41" s="19" t="s">
        <v>46</v>
      </c>
      <c r="C41" s="17" t="b">
        <f aca="false">FALSE()</f>
        <v>0</v>
      </c>
      <c r="D41" s="18"/>
      <c r="E41" s="18"/>
      <c r="F41" s="18"/>
    </row>
    <row r="42" customFormat="false" ht="24" hidden="false" customHeight="true" outlineLevel="0" collapsed="false">
      <c r="A42" s="15"/>
      <c r="B42" s="16" t="s">
        <v>47</v>
      </c>
      <c r="C42" s="17" t="b">
        <f aca="false">FALSE()</f>
        <v>0</v>
      </c>
      <c r="D42" s="18"/>
      <c r="E42" s="18"/>
      <c r="F42" s="18"/>
    </row>
    <row r="43" customFormat="false" ht="24" hidden="false" customHeight="true" outlineLevel="0" collapsed="false">
      <c r="A43" s="15"/>
      <c r="B43" s="16" t="s">
        <v>48</v>
      </c>
      <c r="C43" s="17" t="b">
        <f aca="false">FALSE()</f>
        <v>0</v>
      </c>
      <c r="D43" s="18"/>
      <c r="E43" s="18"/>
      <c r="F43" s="18"/>
    </row>
    <row r="44" customFormat="false" ht="24" hidden="false" customHeight="true" outlineLevel="0" collapsed="false">
      <c r="A44" s="15"/>
      <c r="B44" s="19" t="s">
        <v>49</v>
      </c>
      <c r="C44" s="17" t="b">
        <f aca="false">FALSE()</f>
        <v>0</v>
      </c>
      <c r="D44" s="18"/>
      <c r="E44" s="18"/>
      <c r="F44" s="18"/>
    </row>
    <row r="45" customFormat="false" ht="24" hidden="false" customHeight="true" outlineLevel="0" collapsed="false">
      <c r="A45" s="15"/>
      <c r="B45" s="19" t="s">
        <v>50</v>
      </c>
      <c r="C45" s="17" t="b">
        <f aca="false">FALSE()</f>
        <v>0</v>
      </c>
      <c r="D45" s="18"/>
      <c r="E45" s="18"/>
      <c r="F45" s="18"/>
    </row>
    <row r="46" customFormat="false" ht="24" hidden="false" customHeight="true" outlineLevel="0" collapsed="false">
      <c r="A46" s="15"/>
      <c r="B46" s="16" t="s">
        <v>51</v>
      </c>
      <c r="C46" s="17" t="b">
        <f aca="false">FALSE()</f>
        <v>0</v>
      </c>
      <c r="D46" s="18"/>
      <c r="E46" s="18"/>
      <c r="F46" s="18"/>
    </row>
    <row r="47" customFormat="false" ht="24" hidden="false" customHeight="true" outlineLevel="0" collapsed="false">
      <c r="A47" s="15"/>
      <c r="B47" s="19" t="s">
        <v>52</v>
      </c>
      <c r="C47" s="17" t="b">
        <f aca="false">FALSE()</f>
        <v>0</v>
      </c>
      <c r="D47" s="18"/>
      <c r="E47" s="18"/>
      <c r="F47" s="18"/>
    </row>
    <row r="48" customFormat="false" ht="6" hidden="false" customHeight="true" outlineLevel="0" collapsed="false"/>
  </sheetData>
  <mergeCells count="14">
    <mergeCell ref="A1:F1"/>
    <mergeCell ref="A2:F2"/>
    <mergeCell ref="B3:F3"/>
    <mergeCell ref="C7:F7"/>
    <mergeCell ref="A10:B10"/>
    <mergeCell ref="E10:F10"/>
    <mergeCell ref="A17:B17"/>
    <mergeCell ref="E17:F17"/>
    <mergeCell ref="A23:B23"/>
    <mergeCell ref="E23:F23"/>
    <mergeCell ref="A33:B33"/>
    <mergeCell ref="E33:F33"/>
    <mergeCell ref="A40:B40"/>
    <mergeCell ref="E40:F40"/>
  </mergeCells>
  <conditionalFormatting sqref="B11:F11">
    <cfRule type="expression" priority="2" aboveAverage="0" equalAverage="0" bottom="0" percent="0" rank="0" text="" dxfId="0">
      <formula>$C11=1</formula>
    </cfRule>
  </conditionalFormatting>
  <conditionalFormatting sqref="B12:F12">
    <cfRule type="expression" priority="3" aboveAverage="0" equalAverage="0" bottom="0" percent="0" rank="0" text="" dxfId="0">
      <formula>$C12=1</formula>
    </cfRule>
  </conditionalFormatting>
  <conditionalFormatting sqref="B13:F13">
    <cfRule type="expression" priority="4" aboveAverage="0" equalAverage="0" bottom="0" percent="0" rank="0" text="" dxfId="0">
      <formula>$C13=1</formula>
    </cfRule>
  </conditionalFormatting>
  <conditionalFormatting sqref="B14:F14">
    <cfRule type="expression" priority="5" aboveAverage="0" equalAverage="0" bottom="0" percent="0" rank="0" text="" dxfId="0">
      <formula>$C14=1</formula>
    </cfRule>
  </conditionalFormatting>
  <conditionalFormatting sqref="B15:F15">
    <cfRule type="expression" priority="6" aboveAverage="0" equalAverage="0" bottom="0" percent="0" rank="0" text="" dxfId="0">
      <formula>$C15=1</formula>
    </cfRule>
  </conditionalFormatting>
  <conditionalFormatting sqref="B18:F18">
    <cfRule type="expression" priority="7" aboveAverage="0" equalAverage="0" bottom="0" percent="0" rank="0" text="" dxfId="0">
      <formula>$C18=1</formula>
    </cfRule>
  </conditionalFormatting>
  <conditionalFormatting sqref="B19:F19">
    <cfRule type="expression" priority="8" aboveAverage="0" equalAverage="0" bottom="0" percent="0" rank="0" text="" dxfId="0">
      <formula>$C19=1</formula>
    </cfRule>
  </conditionalFormatting>
  <conditionalFormatting sqref="B20:F20">
    <cfRule type="expression" priority="9" aboveAverage="0" equalAverage="0" bottom="0" percent="0" rank="0" text="" dxfId="0">
      <formula>$C20=1</formula>
    </cfRule>
  </conditionalFormatting>
  <conditionalFormatting sqref="B21:F21">
    <cfRule type="expression" priority="10" aboveAverage="0" equalAverage="0" bottom="0" percent="0" rank="0" text="" dxfId="0">
      <formula>$C21=1</formula>
    </cfRule>
  </conditionalFormatting>
  <conditionalFormatting sqref="B24:F24">
    <cfRule type="expression" priority="11" aboveAverage="0" equalAverage="0" bottom="0" percent="0" rank="0" text="" dxfId="0">
      <formula>$C24=1</formula>
    </cfRule>
  </conditionalFormatting>
  <conditionalFormatting sqref="B25:F25">
    <cfRule type="expression" priority="12" aboveAverage="0" equalAverage="0" bottom="0" percent="0" rank="0" text="" dxfId="0">
      <formula>$C25=1</formula>
    </cfRule>
  </conditionalFormatting>
  <conditionalFormatting sqref="B26:F26">
    <cfRule type="expression" priority="13" aboveAverage="0" equalAverage="0" bottom="0" percent="0" rank="0" text="" dxfId="0">
      <formula>$C26=1</formula>
    </cfRule>
  </conditionalFormatting>
  <conditionalFormatting sqref="B27:F27">
    <cfRule type="expression" priority="14" aboveAverage="0" equalAverage="0" bottom="0" percent="0" rank="0" text="" dxfId="0">
      <formula>$C27=1</formula>
    </cfRule>
  </conditionalFormatting>
  <conditionalFormatting sqref="B28:F28">
    <cfRule type="expression" priority="15" aboveAverage="0" equalAverage="0" bottom="0" percent="0" rank="0" text="" dxfId="0">
      <formula>$C28=1</formula>
    </cfRule>
  </conditionalFormatting>
  <conditionalFormatting sqref="B29:F29">
    <cfRule type="expression" priority="16" aboveAverage="0" equalAverage="0" bottom="0" percent="0" rank="0" text="" dxfId="0">
      <formula>$C29=1</formula>
    </cfRule>
  </conditionalFormatting>
  <conditionalFormatting sqref="B30:F30">
    <cfRule type="expression" priority="17" aboveAverage="0" equalAverage="0" bottom="0" percent="0" rank="0" text="" dxfId="0">
      <formula>$C30=1</formula>
    </cfRule>
  </conditionalFormatting>
  <conditionalFormatting sqref="B31:F31">
    <cfRule type="expression" priority="18" aboveAverage="0" equalAverage="0" bottom="0" percent="0" rank="0" text="" dxfId="0">
      <formula>$C31=1</formula>
    </cfRule>
  </conditionalFormatting>
  <conditionalFormatting sqref="B34:F34">
    <cfRule type="expression" priority="19" aboveAverage="0" equalAverage="0" bottom="0" percent="0" rank="0" text="" dxfId="0">
      <formula>$C34=1</formula>
    </cfRule>
  </conditionalFormatting>
  <conditionalFormatting sqref="B35:F35">
    <cfRule type="expression" priority="20" aboveAverage="0" equalAverage="0" bottom="0" percent="0" rank="0" text="" dxfId="0">
      <formula>$C35=1</formula>
    </cfRule>
  </conditionalFormatting>
  <conditionalFormatting sqref="B36:F36">
    <cfRule type="expression" priority="21" aboveAverage="0" equalAverage="0" bottom="0" percent="0" rank="0" text="" dxfId="0">
      <formula>$C36=1</formula>
    </cfRule>
  </conditionalFormatting>
  <conditionalFormatting sqref="B37:F37">
    <cfRule type="expression" priority="22" aboveAverage="0" equalAverage="0" bottom="0" percent="0" rank="0" text="" dxfId="0">
      <formula>$C37=1</formula>
    </cfRule>
  </conditionalFormatting>
  <conditionalFormatting sqref="B38:F38">
    <cfRule type="expression" priority="23" aboveAverage="0" equalAverage="0" bottom="0" percent="0" rank="0" text="" dxfId="0">
      <formula>$C38=1</formula>
    </cfRule>
  </conditionalFormatting>
  <conditionalFormatting sqref="B41:F41">
    <cfRule type="expression" priority="24" aboveAverage="0" equalAverage="0" bottom="0" percent="0" rank="0" text="" dxfId="0">
      <formula>$C41=1</formula>
    </cfRule>
  </conditionalFormatting>
  <conditionalFormatting sqref="B42:F42">
    <cfRule type="expression" priority="25" aboveAverage="0" equalAverage="0" bottom="0" percent="0" rank="0" text="" dxfId="0">
      <formula>$C42=1</formula>
    </cfRule>
  </conditionalFormatting>
  <conditionalFormatting sqref="B43:F43">
    <cfRule type="expression" priority="26" aboveAverage="0" equalAverage="0" bottom="0" percent="0" rank="0" text="" dxfId="0">
      <formula>$C43=1</formula>
    </cfRule>
  </conditionalFormatting>
  <conditionalFormatting sqref="B44:F44">
    <cfRule type="expression" priority="27" aboveAverage="0" equalAverage="0" bottom="0" percent="0" rank="0" text="" dxfId="0">
      <formula>$C44=1</formula>
    </cfRule>
  </conditionalFormatting>
  <conditionalFormatting sqref="B45:F45">
    <cfRule type="expression" priority="28" aboveAverage="0" equalAverage="0" bottom="0" percent="0" rank="0" text="" dxfId="0">
      <formula>$C45=1</formula>
    </cfRule>
  </conditionalFormatting>
  <conditionalFormatting sqref="B46:F46">
    <cfRule type="expression" priority="29" aboveAverage="0" equalAverage="0" bottom="0" percent="0" rank="0" text="" dxfId="0">
      <formula>$C46=1</formula>
    </cfRule>
  </conditionalFormatting>
  <conditionalFormatting sqref="B47:F47">
    <cfRule type="expression" priority="30" aboveAverage="0" equalAverage="0" bottom="0" percent="0" rank="0" text="" dxfId="0">
      <formula>$C47=1</formula>
    </cfRule>
  </conditionalFormatting>
  <dataValidations count="2">
    <dataValidation allowBlank="true" errorStyle="stop" operator="between" showDropDown="false" showErrorMessage="false" showInputMessage="false" sqref="F5" type="list">
      <formula1>"企画中,撮影準備,撮影済,編集中,仕上げ,公開待ち,公開済"</formula1>
      <formula2>0</formula2>
    </dataValidation>
    <dataValidation allowBlank="false" errorStyle="stop" operator="between" showDropDown="false" showErrorMessage="false" showInputMessage="false" sqref="C11:C15 C18:C21 C24:C31 C34:C38 C41:C47" type="list">
      <formula1>"TRUE,FALSE"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21.75" hidden="false" customHeight="true" outlineLevel="0" collapsed="false">
      <c r="A1" s="20" t="s">
        <v>53</v>
      </c>
    </row>
    <row r="2" customFormat="false" ht="19.5" hidden="false" customHeight="true" outlineLevel="0" collapsed="false">
      <c r="A2" s="21"/>
    </row>
    <row r="3" customFormat="false" ht="21.75" hidden="false" customHeight="true" outlineLevel="0" collapsed="false">
      <c r="A3" s="22" t="s">
        <v>54</v>
      </c>
    </row>
    <row r="4" customFormat="false" ht="19.5" hidden="false" customHeight="true" outlineLevel="0" collapsed="false">
      <c r="A4" s="21" t="s">
        <v>55</v>
      </c>
    </row>
    <row r="5" customFormat="false" ht="19.5" hidden="false" customHeight="true" outlineLevel="0" collapsed="false">
      <c r="A5" s="21" t="s">
        <v>56</v>
      </c>
    </row>
    <row r="6" customFormat="false" ht="19.5" hidden="false" customHeight="true" outlineLevel="0" collapsed="false">
      <c r="A6" s="21" t="s">
        <v>57</v>
      </c>
    </row>
    <row r="7" customFormat="false" ht="19.5" hidden="false" customHeight="true" outlineLevel="0" collapsed="false">
      <c r="A7" s="21"/>
    </row>
    <row r="8" customFormat="false" ht="21.75" hidden="false" customHeight="true" outlineLevel="0" collapsed="false">
      <c r="A8" s="22" t="s">
        <v>58</v>
      </c>
    </row>
    <row r="9" customFormat="false" ht="19.5" hidden="false" customHeight="true" outlineLevel="0" collapsed="false">
      <c r="A9" s="23" t="s">
        <v>59</v>
      </c>
    </row>
    <row r="10" customFormat="false" ht="19.5" hidden="false" customHeight="true" outlineLevel="0" collapsed="false">
      <c r="A10" s="23" t="s">
        <v>60</v>
      </c>
    </row>
    <row r="11" customFormat="false" ht="19.5" hidden="false" customHeight="true" outlineLevel="0" collapsed="false">
      <c r="A11" s="23"/>
    </row>
    <row r="12" customFormat="false" ht="21.75" hidden="false" customHeight="true" outlineLevel="0" collapsed="false">
      <c r="A12" s="22" t="s">
        <v>61</v>
      </c>
    </row>
    <row r="13" customFormat="false" ht="19.5" hidden="false" customHeight="true" outlineLevel="0" collapsed="false">
      <c r="A13" s="23" t="s">
        <v>62</v>
      </c>
    </row>
    <row r="14" customFormat="false" ht="19.5" hidden="false" customHeight="true" outlineLevel="0" collapsed="false">
      <c r="A14" s="23" t="s">
        <v>63</v>
      </c>
    </row>
    <row r="15" customFormat="false" ht="19.5" hidden="false" customHeight="true" outlineLevel="0" collapsed="false">
      <c r="A15" s="23" t="s">
        <v>64</v>
      </c>
    </row>
    <row r="16" customFormat="false" ht="19.5" hidden="false" customHeight="true" outlineLevel="0" collapsed="false">
      <c r="A16" s="23"/>
    </row>
    <row r="17" customFormat="false" ht="21.75" hidden="false" customHeight="true" outlineLevel="0" collapsed="false">
      <c r="A17" s="22" t="s">
        <v>65</v>
      </c>
    </row>
    <row r="18" customFormat="false" ht="19.5" hidden="false" customHeight="true" outlineLevel="0" collapsed="false">
      <c r="A18" s="21" t="s">
        <v>66</v>
      </c>
    </row>
    <row r="19" customFormat="false" ht="19.5" hidden="false" customHeight="true" outlineLevel="0" collapsed="false">
      <c r="A19" s="21" t="s">
        <v>67</v>
      </c>
    </row>
    <row r="20" customFormat="false" ht="19.5" hidden="false" customHeight="true" outlineLevel="0" collapsed="false">
      <c r="A20" s="21" t="s">
        <v>68</v>
      </c>
    </row>
    <row r="21" customFormat="false" ht="19.5" hidden="false" customHeight="true" outlineLevel="0" collapsed="false">
      <c r="A21" s="21" t="s">
        <v>69</v>
      </c>
    </row>
    <row r="22" customFormat="false" ht="19.5" hidden="false" customHeight="true" outlineLevel="0" collapsed="false">
      <c r="A22" s="21" t="s">
        <v>70</v>
      </c>
    </row>
    <row r="23" customFormat="false" ht="19.5" hidden="false" customHeight="true" outlineLevel="0" collapsed="false">
      <c r="A23" s="24" t="s">
        <v>71</v>
      </c>
    </row>
    <row r="24" customFormat="false" ht="19.5" hidden="false" customHeight="true" outlineLevel="0" collapsed="false">
      <c r="A24" s="23"/>
    </row>
    <row r="25" customFormat="false" ht="21.75" hidden="false" customHeight="true" outlineLevel="0" collapsed="false">
      <c r="A25" s="22" t="s">
        <v>72</v>
      </c>
    </row>
    <row r="26" customFormat="false" ht="19.5" hidden="false" customHeight="true" outlineLevel="0" collapsed="false">
      <c r="A26" s="23" t="s">
        <v>73</v>
      </c>
    </row>
    <row r="27" customFormat="false" ht="19.5" hidden="false" customHeight="true" outlineLevel="0" collapsed="false">
      <c r="A27" s="23" t="s">
        <v>74</v>
      </c>
    </row>
    <row r="28" customFormat="false" ht="19.5" hidden="false" customHeight="true" outlineLevel="0" collapsed="false">
      <c r="A28" s="2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2026-05-12T13:58:06Z</dcterms:created>
  <dc:creator>openpyxl</dc:creator>
  <dc:description/>
  <dc:language>en-US</dc:language>
  <cp:lastModifiedBy/>
  <dcterms:modified xsi:type="dcterms:W3CDTF">2026-05-12T13:58:06Z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