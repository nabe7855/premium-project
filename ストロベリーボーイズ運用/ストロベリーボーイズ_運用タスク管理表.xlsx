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ダッシュボード" sheetId="1" state="visible" r:id="rId3"/>
    <sheet name="X投稿ログ" sheetId="2" state="visible" r:id="rId4"/>
    <sheet name="ピラー別分析" sheetId="3" state="visible" r:id="rId5"/>
    <sheet name="日次ダイジェスト" sheetId="4" state="visible" r:id="rId6"/>
    <sheet name="週次トレンド" sheetId="5" state="visible" r:id="rId7"/>
    <sheet name="AI改善フィードバック" sheetId="6" state="visible" r:id="rId8"/>
    <sheet name="デイリータスク" sheetId="7" state="visible" r:id="rId9"/>
    <sheet name="ウィークリー" sheetId="8" state="visible" r:id="rId10"/>
    <sheet name="マンスリー" sheetId="9" state="visible" r:id="rId11"/>
    <sheet name="KW順位トラッキング" sheetId="10" state="visible" r:id="rId12"/>
    <sheet name="Xフォロワー推移" sheetId="11" state="visible" r:id="rId13"/>
    <sheet name="Xコンテンツピラー" sheetId="12" state="visible" r:id="rId14"/>
    <sheet name="BANリスク管理" sheetId="13" state="visible" r:id="rId15"/>
    <sheet name="記事管理" sheetId="14" state="visible" r:id="rId16"/>
    <sheet name="競合バズ投稿" sheetId="15" state="visible" r:id="rId17"/>
    <sheet name="トレンド・時事" sheetId="16" state="visible" r:id="rId18"/>
    <sheet name="Xアルゴ動向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<sst xmlns="http://schemas.openxmlformats.org/spreadsheetml/2006/main" count="2695" uniqueCount="607">
  <si>
    <r>
      <rPr>
        <b val="true"/>
        <sz val="16"/>
        <color rgb="FFE91E63"/>
        <rFont val="DejaVu Sans"/>
        <family val="2"/>
      </rPr>
      <t xml:space="preserve">ストロベリーボーイズ｜</t>
    </r>
    <r>
      <rPr>
        <b val="true"/>
        <sz val="16"/>
        <color rgb="FFE91E63"/>
        <rFont val="DejaVu Sans"/>
        <family val="2"/>
        <charset val="1"/>
      </rPr>
      <t xml:space="preserve">SEO/AIO</t>
    </r>
    <r>
      <rPr>
        <b val="true"/>
        <sz val="16"/>
        <color rgb="FFE91E63"/>
        <rFont val="DejaVu Sans"/>
        <family val="2"/>
      </rPr>
      <t xml:space="preserve">・</t>
    </r>
    <r>
      <rPr>
        <b val="true"/>
        <sz val="16"/>
        <color rgb="FFE91E63"/>
        <rFont val="DejaVu Sans"/>
        <family val="2"/>
        <charset val="1"/>
      </rPr>
      <t xml:space="preserve">X</t>
    </r>
    <r>
      <rPr>
        <b val="true"/>
        <sz val="16"/>
        <color rgb="FFE91E63"/>
        <rFont val="DejaVu Sans"/>
        <family val="2"/>
      </rPr>
      <t xml:space="preserve">統合運用 </t>
    </r>
    <r>
      <rPr>
        <b val="true"/>
        <sz val="16"/>
        <color rgb="FFE91E63"/>
        <rFont val="DejaVu Sans"/>
        <family val="2"/>
        <charset val="1"/>
      </rPr>
      <t xml:space="preserve">KPI</t>
    </r>
    <r>
      <rPr>
        <b val="true"/>
        <sz val="16"/>
        <color rgb="FFE91E63"/>
        <rFont val="DejaVu Sans"/>
        <family val="2"/>
      </rPr>
      <t xml:space="preserve">ダッシュボード</t>
    </r>
  </si>
  <si>
    <t xml:space="preserve">更新日</t>
  </si>
  <si>
    <t xml:space="preserve">2026-04-15</t>
  </si>
  <si>
    <t xml:space="preserve">計測期間</t>
  </si>
  <si>
    <r>
      <rPr>
        <sz val="11"/>
        <color theme="1"/>
        <rFont val="Calibri"/>
        <family val="2"/>
        <charset val="1"/>
      </rPr>
      <t xml:space="preserve">2026-04-15 </t>
    </r>
    <r>
      <rPr>
        <sz val="11"/>
        <color theme="1"/>
        <rFont val="DejaVu Sans"/>
        <family val="2"/>
      </rPr>
      <t xml:space="preserve">〜 </t>
    </r>
    <r>
      <rPr>
        <sz val="11"/>
        <color theme="1"/>
        <rFont val="Calibri"/>
        <family val="2"/>
        <charset val="1"/>
      </rPr>
      <t xml:space="preserve">2026-12-31</t>
    </r>
  </si>
  <si>
    <r>
      <rPr>
        <b val="true"/>
        <sz val="12"/>
        <color rgb="FFE91E63"/>
        <rFont val="DejaVu Sans"/>
        <family val="2"/>
      </rPr>
      <t xml:space="preserve">■ 年間</t>
    </r>
    <r>
      <rPr>
        <b val="true"/>
        <sz val="12"/>
        <color rgb="FFE91E63"/>
        <rFont val="DejaVu Sans"/>
        <family val="2"/>
        <charset val="1"/>
      </rPr>
      <t xml:space="preserve">KGI (Key Goal Indicators)</t>
    </r>
  </si>
  <si>
    <t xml:space="preserve">領域</t>
  </si>
  <si>
    <t xml:space="preserve">指標</t>
  </si>
  <si>
    <t xml:space="preserve">目標</t>
  </si>
  <si>
    <t xml:space="preserve">現状</t>
  </si>
  <si>
    <t xml:space="preserve">進捗率</t>
  </si>
  <si>
    <t xml:space="preserve">残日数</t>
  </si>
  <si>
    <t xml:space="preserve">SEO</t>
  </si>
  <si>
    <t xml:space="preserve">女性用風俗 横浜 順位</t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</si>
  <si>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位</t>
    </r>
  </si>
  <si>
    <t xml:space="preserve">—</t>
  </si>
  <si>
    <t xml:space="preserve">女性用風俗 神奈川 順位</t>
  </si>
  <si>
    <t xml:space="preserve">女性用風俗 福岡 順位</t>
  </si>
  <si>
    <t xml:space="preserve">女性用風俗 博多 順位</t>
  </si>
  <si>
    <r>
      <rPr>
        <sz val="10"/>
        <rFont val="Arial"/>
        <family val="0"/>
        <charset val="1"/>
      </rPr>
      <t xml:space="preserve">X</t>
    </r>
    <r>
      <rPr>
        <sz val="10"/>
        <rFont val="DejaVu Sans"/>
        <family val="2"/>
      </rPr>
      <t xml:space="preserve">公式</t>
    </r>
  </si>
  <si>
    <t xml:space="preserve">フォロワー数</t>
  </si>
  <si>
    <r>
      <rPr>
        <sz val="10"/>
        <rFont val="Arial"/>
        <family val="0"/>
        <charset val="1"/>
      </rPr>
      <t xml:space="preserve">X</t>
    </r>
    <r>
      <rPr>
        <sz val="10"/>
        <rFont val="DejaVu Sans"/>
        <family val="2"/>
      </rPr>
      <t xml:space="preserve">サブ</t>
    </r>
  </si>
  <si>
    <t xml:space="preserve">AIO</t>
  </si>
  <si>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引用獲得</t>
    </r>
    <r>
      <rPr>
        <sz val="10"/>
        <rFont val="Arial"/>
        <family val="0"/>
        <charset val="1"/>
      </rPr>
      <t xml:space="preserve">KW</t>
    </r>
    <r>
      <rPr>
        <sz val="10"/>
        <rFont val="DejaVu Sans"/>
        <family val="2"/>
      </rPr>
      <t xml:space="preserve">数</t>
    </r>
    <r>
      <rPr>
        <sz val="10"/>
        <rFont val="Arial"/>
        <family val="0"/>
        <charset val="1"/>
      </rPr>
      <t xml:space="preserve">(20</t>
    </r>
    <r>
      <rPr>
        <sz val="10"/>
        <rFont val="DejaVu Sans"/>
        <family val="2"/>
      </rPr>
      <t xml:space="preserve">中</t>
    </r>
    <r>
      <rPr>
        <sz val="10"/>
        <rFont val="Arial"/>
        <family val="0"/>
        <charset val="1"/>
      </rPr>
      <t xml:space="preserve">)</t>
    </r>
  </si>
  <si>
    <r>
      <rPr>
        <b val="true"/>
        <sz val="12"/>
        <color rgb="FFE91E63"/>
        <rFont val="Arial"/>
        <family val="0"/>
        <charset val="1"/>
      </rPr>
      <t xml:space="preserve">■ X</t>
    </r>
    <r>
      <rPr>
        <b val="true"/>
        <sz val="12"/>
        <color rgb="FFE91E63"/>
        <rFont val="DejaVu Sans"/>
        <family val="2"/>
      </rPr>
      <t xml:space="preserve">公式フォロワー成長ペース</t>
    </r>
    <r>
      <rPr>
        <b val="true"/>
        <sz val="12"/>
        <color rgb="FFE91E63"/>
        <rFont val="Arial"/>
        <family val="0"/>
        <charset val="1"/>
      </rPr>
      <t xml:space="preserve">(</t>
    </r>
    <r>
      <rPr>
        <b val="true"/>
        <sz val="12"/>
        <color rgb="FFE91E63"/>
        <rFont val="DejaVu Sans"/>
        <family val="2"/>
      </rPr>
      <t xml:space="preserve">必要純増数</t>
    </r>
    <r>
      <rPr>
        <b val="true"/>
        <sz val="12"/>
        <color rgb="FFE91E63"/>
        <rFont val="Arial"/>
        <family val="0"/>
        <charset val="1"/>
      </rPr>
      <t xml:space="preserve">)</t>
    </r>
  </si>
  <si>
    <t xml:space="preserve">フェーズ</t>
  </si>
  <si>
    <t xml:space="preserve">期間</t>
  </si>
  <si>
    <t xml:space="preserve">期間日数</t>
  </si>
  <si>
    <t xml:space="preserve">純増目標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</si>
  <si>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日平均</t>
    </r>
  </si>
  <si>
    <t xml:space="preserve">初速期</t>
  </si>
  <si>
    <t xml:space="preserve">4/15-6/30</t>
  </si>
  <si>
    <t xml:space="preserve">加速期</t>
  </si>
  <si>
    <t xml:space="preserve">7/1-9/30</t>
  </si>
  <si>
    <t xml:space="preserve">確定期</t>
  </si>
  <si>
    <t xml:space="preserve">10/1-12/31</t>
  </si>
  <si>
    <t xml:space="preserve">合計</t>
  </si>
  <si>
    <t xml:space="preserve">4/15-12/31</t>
  </si>
  <si>
    <r>
      <rPr>
        <b val="true"/>
        <sz val="12"/>
        <color rgb="FFE91E63"/>
        <rFont val="Arial"/>
        <family val="0"/>
        <charset val="1"/>
      </rPr>
      <t xml:space="preserve">■ X</t>
    </r>
    <r>
      <rPr>
        <b val="true"/>
        <sz val="12"/>
        <color rgb="FFE91E63"/>
        <rFont val="DejaVu Sans"/>
        <family val="2"/>
      </rPr>
      <t xml:space="preserve">投稿パフォーマンスサマリー（直近</t>
    </r>
    <r>
      <rPr>
        <b val="true"/>
        <sz val="12"/>
        <color rgb="FFE91E63"/>
        <rFont val="Arial"/>
        <family val="0"/>
        <charset val="1"/>
      </rPr>
      <t xml:space="preserve">7</t>
    </r>
    <r>
      <rPr>
        <b val="true"/>
        <sz val="12"/>
        <color rgb="FFE91E63"/>
        <rFont val="DejaVu Sans"/>
        <family val="2"/>
      </rPr>
      <t xml:space="preserve">日）</t>
    </r>
  </si>
  <si>
    <r>
      <rPr>
        <b val="true"/>
        <sz val="11"/>
        <color rgb="FFFFFFFF"/>
        <rFont val="DejaVu Sans"/>
        <family val="2"/>
      </rPr>
      <t xml:space="preserve">直近</t>
    </r>
    <r>
      <rPr>
        <b val="true"/>
        <sz val="11"/>
        <color rgb="FFFFFFFF"/>
        <rFont val="DejaVu Sans"/>
        <family val="2"/>
        <charset val="1"/>
      </rPr>
      <t xml:space="preserve">7</t>
    </r>
    <r>
      <rPr>
        <b val="true"/>
        <sz val="11"/>
        <color rgb="FFFFFFFF"/>
        <rFont val="DejaVu Sans"/>
        <family val="2"/>
      </rPr>
      <t xml:space="preserve">日</t>
    </r>
  </si>
  <si>
    <r>
      <rPr>
        <b val="true"/>
        <sz val="11"/>
        <color rgb="FFFFFFFF"/>
        <rFont val="DejaVu Sans"/>
        <family val="2"/>
      </rPr>
      <t xml:space="preserve">前</t>
    </r>
    <r>
      <rPr>
        <b val="true"/>
        <sz val="11"/>
        <color rgb="FFFFFFFF"/>
        <rFont val="DejaVu Sans"/>
        <family val="2"/>
        <charset val="1"/>
      </rPr>
      <t xml:space="preserve">7</t>
    </r>
    <r>
      <rPr>
        <b val="true"/>
        <sz val="11"/>
        <color rgb="FFFFFFFF"/>
        <rFont val="DejaVu Sans"/>
        <family val="2"/>
      </rPr>
      <t xml:space="preserve">日</t>
    </r>
  </si>
  <si>
    <t xml:space="preserve">変化</t>
  </si>
  <si>
    <t xml:space="preserve">合計インプレッション</t>
  </si>
  <si>
    <t xml:space="preserve">合計エンゲージメント</t>
  </si>
  <si>
    <r>
      <rPr>
        <b val="true"/>
        <sz val="11"/>
        <rFont val="DejaVu Sans"/>
        <family val="2"/>
      </rPr>
      <t xml:space="preserve">平均</t>
    </r>
    <r>
      <rPr>
        <b val="true"/>
        <sz val="11"/>
        <rFont val="DejaVu Sans"/>
        <family val="2"/>
        <charset val="1"/>
      </rPr>
      <t xml:space="preserve">ER(%)</t>
    </r>
  </si>
  <si>
    <t xml:space="preserve">フォロワー純増</t>
  </si>
  <si>
    <r>
      <rPr>
        <b val="true"/>
        <sz val="11"/>
        <rFont val="DejaVu Sans"/>
        <family val="2"/>
      </rPr>
      <t xml:space="preserve">最高</t>
    </r>
    <r>
      <rPr>
        <b val="true"/>
        <sz val="11"/>
        <rFont val="DejaVu Sans"/>
        <family val="2"/>
        <charset val="1"/>
      </rPr>
      <t xml:space="preserve">Imp</t>
    </r>
    <r>
      <rPr>
        <b val="true"/>
        <sz val="11"/>
        <rFont val="DejaVu Sans"/>
        <family val="2"/>
      </rPr>
      <t xml:space="preserve">ピラー</t>
    </r>
  </si>
  <si>
    <t xml:space="preserve">投稿日</t>
  </si>
  <si>
    <t xml:space="preserve">時間帯</t>
  </si>
  <si>
    <t xml:space="preserve">ピラー</t>
  </si>
  <si>
    <r>
      <rPr>
        <b val="true"/>
        <sz val="11"/>
        <color rgb="FFFFFFFF"/>
        <rFont val="DejaVu Sans"/>
        <family val="2"/>
      </rPr>
      <t xml:space="preserve">投稿テキスト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冒頭</t>
    </r>
    <r>
      <rPr>
        <b val="true"/>
        <sz val="11"/>
        <color rgb="FFFFFFFF"/>
        <rFont val="DejaVu Sans"/>
        <family val="2"/>
        <charset val="1"/>
      </rPr>
      <t xml:space="preserve">40</t>
    </r>
    <r>
      <rPr>
        <b val="true"/>
        <sz val="11"/>
        <color rgb="FFFFFFFF"/>
        <rFont val="DejaVu Sans"/>
        <family val="2"/>
      </rPr>
      <t xml:space="preserve">字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</si>
  <si>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画像有無</t>
  </si>
  <si>
    <r>
      <rPr>
        <b val="true"/>
        <sz val="11"/>
        <color rgb="FFFFFFFF"/>
        <rFont val="Arial"/>
        <family val="0"/>
        <charset val="1"/>
      </rPr>
      <t xml:space="preserve">URL</t>
    </r>
    <r>
      <rPr>
        <b val="true"/>
        <sz val="11"/>
        <color rgb="FFFFFFFF"/>
        <rFont val="DejaVu Sans"/>
        <family val="2"/>
      </rPr>
      <t xml:space="preserve">有無</t>
    </r>
  </si>
  <si>
    <t xml:space="preserve">インプレッション</t>
  </si>
  <si>
    <t xml:space="preserve">エンゲージメント</t>
  </si>
  <si>
    <t xml:space="preserve">いいね</t>
  </si>
  <si>
    <t xml:space="preserve">RT</t>
  </si>
  <si>
    <t xml:space="preserve">リプライ</t>
  </si>
  <si>
    <t xml:space="preserve">リンククリック</t>
  </si>
  <si>
    <t xml:space="preserve">ER(%)</t>
  </si>
  <si>
    <r>
      <rPr>
        <b val="true"/>
        <sz val="11"/>
        <color rgb="FFFFFFFF"/>
        <rFont val="Arial"/>
        <family val="0"/>
        <charset val="1"/>
      </rPr>
      <t xml:space="preserve">Imp/</t>
    </r>
    <r>
      <rPr>
        <b val="true"/>
        <sz val="11"/>
        <color rgb="FFFFFFFF"/>
        <rFont val="DejaVu Sans"/>
        <family val="2"/>
      </rPr>
      <t xml:space="preserve">フォロワー比</t>
    </r>
  </si>
  <si>
    <r>
      <rPr>
        <b val="true"/>
        <sz val="11"/>
        <color rgb="FFFFFFFF"/>
        <rFont val="DejaVu Sans"/>
        <family val="2"/>
      </rPr>
      <t xml:space="preserve">スコア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自動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</si>
  <si>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勝因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敗因メモ</t>
    </r>
  </si>
  <si>
    <r>
      <rPr>
        <sz val="10"/>
        <rFont val="DejaVu Sans"/>
        <family val="2"/>
      </rPr>
      <t xml:space="preserve">朝</t>
    </r>
    <r>
      <rPr>
        <sz val="10"/>
        <rFont val="DejaVu Sans"/>
        <family val="2"/>
        <charset val="1"/>
      </rPr>
      <t xml:space="preserve">(7:30-8:30)</t>
    </r>
  </si>
  <si>
    <r>
      <rPr>
        <sz val="10"/>
        <rFont val="DejaVu Sans"/>
        <family val="2"/>
      </rPr>
      <t xml:space="preserve">昼</t>
    </r>
    <r>
      <rPr>
        <sz val="10"/>
        <rFont val="DejaVu Sans"/>
        <family val="2"/>
        <charset val="1"/>
      </rPr>
      <t xml:space="preserve">(12:00-13:00)</t>
    </r>
  </si>
  <si>
    <r>
      <rPr>
        <sz val="10"/>
        <rFont val="DejaVu Sans"/>
        <family val="2"/>
      </rPr>
      <t xml:space="preserve">夕</t>
    </r>
    <r>
      <rPr>
        <sz val="10"/>
        <rFont val="DejaVu Sans"/>
        <family val="2"/>
        <charset val="1"/>
      </rPr>
      <t xml:space="preserve">(19:00-20:00)</t>
    </r>
  </si>
  <si>
    <r>
      <rPr>
        <sz val="10"/>
        <rFont val="DejaVu Sans"/>
        <family val="2"/>
      </rPr>
      <t xml:space="preserve">夜</t>
    </r>
    <r>
      <rPr>
        <sz val="10"/>
        <rFont val="DejaVu Sans"/>
        <family val="2"/>
        <charset val="1"/>
      </rPr>
      <t xml:space="preserve">1(22:00-22:30)</t>
    </r>
  </si>
  <si>
    <r>
      <rPr>
        <sz val="10"/>
        <rFont val="DejaVu Sans"/>
        <family val="2"/>
      </rPr>
      <t xml:space="preserve">夜</t>
    </r>
    <r>
      <rPr>
        <sz val="10"/>
        <rFont val="DejaVu Sans"/>
        <family val="2"/>
        <charset val="1"/>
      </rPr>
      <t xml:space="preserve">2(23:00-23:30)</t>
    </r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</si>
  <si>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</si>
  <si>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</si>
  <si>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</si>
  <si>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</si>
  <si>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</si>
  <si>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</si>
  <si>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</si>
  <si>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</si>
  <si>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</si>
  <si>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</si>
  <si>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</si>
  <si>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</si>
  <si>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</si>
  <si>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</si>
  <si>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</si>
  <si>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</si>
  <si>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</si>
  <si>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</si>
  <si>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</si>
  <si>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</si>
  <si>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</si>
  <si>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</si>
  <si>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</si>
  <si>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</si>
  <si>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</si>
  <si>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</si>
  <si>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</si>
  <si>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</si>
  <si>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</si>
  <si>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</si>
  <si>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</si>
  <si>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</si>
  <si>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</si>
  <si>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</si>
  <si>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</si>
  <si>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</si>
  <si>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</si>
  <si>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</si>
  <si>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</si>
  <si>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</si>
  <si>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</si>
  <si>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</si>
  <si>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</si>
  <si>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</si>
  <si>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</si>
  <si>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</si>
  <si>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</si>
  <si>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</si>
  <si>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</si>
  <si>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</si>
  <si>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</si>
  <si>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</si>
  <si>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</si>
  <si>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</si>
  <si>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</si>
  <si>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</si>
  <si>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</si>
  <si>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</si>
  <si>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</si>
  <si>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</si>
  <si>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</si>
  <si>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</si>
  <si>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</si>
  <si>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</si>
  <si>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</si>
  <si>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</si>
  <si>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</si>
  <si>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</si>
  <si>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</si>
  <si>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</si>
  <si>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</si>
  <si>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</si>
  <si>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</si>
  <si>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</si>
  <si>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</si>
  <si>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</si>
  <si>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</si>
  <si>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</si>
  <si>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</si>
  <si>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</si>
  <si>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</si>
  <si>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</si>
  <si>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</si>
  <si>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</si>
  <si>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</si>
  <si>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</si>
  <si>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</si>
  <si>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</si>
  <si>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</si>
  <si>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■ ピラー別パフォーマンス集計（自動計算）</t>
  </si>
  <si>
    <t xml:space="preserve">投稿数</t>
  </si>
  <si>
    <r>
      <rPr>
        <b val="true"/>
        <sz val="11"/>
        <color rgb="FFFFFFFF"/>
        <rFont val="DejaVu Sans"/>
        <family val="2"/>
      </rPr>
      <t xml:space="preserve">平均</t>
    </r>
    <r>
      <rPr>
        <b val="true"/>
        <sz val="11"/>
        <color rgb="FFFFFFFF"/>
        <rFont val="DejaVu Sans"/>
        <family val="2"/>
        <charset val="1"/>
      </rPr>
      <t xml:space="preserve">Imp</t>
    </r>
  </si>
  <si>
    <r>
      <rPr>
        <b val="true"/>
        <sz val="11"/>
        <color rgb="FFFFFFFF"/>
        <rFont val="DejaVu Sans"/>
        <family val="2"/>
      </rPr>
      <t xml:space="preserve">平均</t>
    </r>
    <r>
      <rPr>
        <b val="true"/>
        <sz val="11"/>
        <color rgb="FFFFFFFF"/>
        <rFont val="DejaVu Sans"/>
        <family val="2"/>
        <charset val="1"/>
      </rPr>
      <t xml:space="preserve">ER(%)</t>
    </r>
  </si>
  <si>
    <t xml:space="preserve">平均スコア</t>
  </si>
  <si>
    <r>
      <rPr>
        <b val="true"/>
        <sz val="11"/>
        <color rgb="FFFFFFFF"/>
        <rFont val="DejaVu Sans"/>
        <family val="2"/>
      </rPr>
      <t xml:space="preserve">最高</t>
    </r>
    <r>
      <rPr>
        <b val="true"/>
        <sz val="11"/>
        <color rgb="FFFFFFFF"/>
        <rFont val="DejaVu Sans"/>
        <family val="2"/>
        <charset val="1"/>
      </rPr>
      <t xml:space="preserve">Imp</t>
    </r>
    <r>
      <rPr>
        <b val="true"/>
        <sz val="11"/>
        <color rgb="FFFFFFFF"/>
        <rFont val="DejaVu Sans"/>
        <family val="2"/>
      </rPr>
      <t xml:space="preserve">投稿日</t>
    </r>
  </si>
  <si>
    <r>
      <rPr>
        <b val="true"/>
        <sz val="11"/>
        <color rgb="FFFFFFFF"/>
        <rFont val="DejaVu Sans"/>
        <family val="2"/>
      </rPr>
      <t xml:space="preserve">最低</t>
    </r>
    <r>
      <rPr>
        <b val="true"/>
        <sz val="11"/>
        <color rgb="FFFFFFFF"/>
        <rFont val="DejaVu Sans"/>
        <family val="2"/>
        <charset val="1"/>
      </rPr>
      <t xml:space="preserve">Imp</t>
    </r>
    <r>
      <rPr>
        <b val="true"/>
        <sz val="11"/>
        <color rgb="FFFFFFFF"/>
        <rFont val="DejaVu Sans"/>
        <family val="2"/>
      </rPr>
      <t xml:space="preserve">投稿日</t>
    </r>
  </si>
  <si>
    <t xml:space="preserve">推奨比率調整</t>
  </si>
  <si>
    <t xml:space="preserve">共感・エンパワメント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</si>
  <si>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データ蓄積後に自動表示</t>
    </r>
    <r>
      <rPr>
        <sz val="11"/>
        <color theme="1"/>
        <rFont val="Calibri"/>
        <family val="2"/>
        <charset val="1"/>
      </rPr>
      <t xml:space="preserve">)</t>
    </r>
  </si>
  <si>
    <t xml:space="preserve">ブランド・キャスト紹介</t>
  </si>
  <si>
    <t xml:space="preserve">お役立ち・コラム</t>
  </si>
  <si>
    <t xml:space="preserve">キャンペーン・イベント</t>
  </si>
  <si>
    <t xml:space="preserve">インタラクション</t>
  </si>
  <si>
    <t xml:space="preserve">■ 時間帯別パフォーマンス集計</t>
  </si>
  <si>
    <t xml:space="preserve">評価</t>
  </si>
  <si>
    <r>
      <rPr>
        <b val="true"/>
        <sz val="11"/>
        <rFont val="DejaVu Sans"/>
        <family val="2"/>
      </rPr>
      <t xml:space="preserve">朝</t>
    </r>
    <r>
      <rPr>
        <b val="true"/>
        <sz val="11"/>
        <rFont val="DejaVu Sans"/>
        <family val="2"/>
        <charset val="1"/>
      </rPr>
      <t xml:space="preserve">(7:30-8:30)</t>
    </r>
  </si>
  <si>
    <r>
      <rPr>
        <b val="true"/>
        <sz val="11"/>
        <rFont val="DejaVu Sans"/>
        <family val="2"/>
      </rPr>
      <t xml:space="preserve">昼</t>
    </r>
    <r>
      <rPr>
        <b val="true"/>
        <sz val="11"/>
        <rFont val="DejaVu Sans"/>
        <family val="2"/>
        <charset val="1"/>
      </rPr>
      <t xml:space="preserve">(12:00-13:00)</t>
    </r>
  </si>
  <si>
    <r>
      <rPr>
        <b val="true"/>
        <sz val="11"/>
        <rFont val="DejaVu Sans"/>
        <family val="2"/>
      </rPr>
      <t xml:space="preserve">夕</t>
    </r>
    <r>
      <rPr>
        <b val="true"/>
        <sz val="11"/>
        <rFont val="DejaVu Sans"/>
        <family val="2"/>
        <charset val="1"/>
      </rPr>
      <t xml:space="preserve">(19:00-20:00)</t>
    </r>
  </si>
  <si>
    <r>
      <rPr>
        <b val="true"/>
        <sz val="11"/>
        <rFont val="DejaVu Sans"/>
        <family val="2"/>
      </rPr>
      <t xml:space="preserve">夜</t>
    </r>
    <r>
      <rPr>
        <b val="true"/>
        <sz val="11"/>
        <rFont val="DejaVu Sans"/>
        <family val="2"/>
        <charset val="1"/>
      </rPr>
      <t xml:space="preserve">1(22:00-22:30)</t>
    </r>
  </si>
  <si>
    <r>
      <rPr>
        <b val="true"/>
        <sz val="11"/>
        <rFont val="DejaVu Sans"/>
        <family val="2"/>
      </rPr>
      <t xml:space="preserve">夜</t>
    </r>
    <r>
      <rPr>
        <b val="true"/>
        <sz val="11"/>
        <rFont val="DejaVu Sans"/>
        <family val="2"/>
        <charset val="1"/>
      </rPr>
      <t xml:space="preserve">2(23:00-23:30)</t>
    </r>
  </si>
  <si>
    <t xml:space="preserve">■ 画像有無別パフォーマンス</t>
  </si>
  <si>
    <t xml:space="preserve">条件</t>
  </si>
  <si>
    <t xml:space="preserve">画像あり</t>
  </si>
  <si>
    <t xml:space="preserve">画像なし</t>
  </si>
  <si>
    <t xml:space="preserve">日付</t>
  </si>
  <si>
    <t xml:space="preserve">曜日</t>
  </si>
  <si>
    <r>
      <rPr>
        <b val="true"/>
        <sz val="11"/>
        <color rgb="FFFFFFFF"/>
        <rFont val="DejaVu Sans"/>
        <family val="2"/>
      </rPr>
      <t xml:space="preserve">合計</t>
    </r>
    <r>
      <rPr>
        <b val="true"/>
        <sz val="11"/>
        <color rgb="FFFFFFFF"/>
        <rFont val="DejaVu Sans"/>
        <family val="2"/>
        <charset val="1"/>
      </rPr>
      <t xml:space="preserve">Imp</t>
    </r>
  </si>
  <si>
    <r>
      <rPr>
        <b val="true"/>
        <sz val="11"/>
        <color rgb="FFFFFFFF"/>
        <rFont val="DejaVu Sans"/>
        <family val="2"/>
      </rPr>
      <t xml:space="preserve">合計</t>
    </r>
    <r>
      <rPr>
        <b val="true"/>
        <sz val="11"/>
        <color rgb="FFFFFFFF"/>
        <rFont val="DejaVu Sans"/>
        <family val="2"/>
        <charset val="1"/>
      </rPr>
      <t xml:space="preserve">Eng</t>
    </r>
  </si>
  <si>
    <t xml:space="preserve">合計いいね</t>
  </si>
  <si>
    <r>
      <rPr>
        <b val="true"/>
        <sz val="11"/>
        <color rgb="FFFFFFFF"/>
        <rFont val="DejaVu Sans"/>
        <family val="2"/>
      </rPr>
      <t xml:space="preserve">合計</t>
    </r>
    <r>
      <rPr>
        <b val="true"/>
        <sz val="11"/>
        <color rgb="FFFFFFFF"/>
        <rFont val="DejaVu Sans"/>
        <family val="2"/>
        <charset val="1"/>
      </rPr>
      <t xml:space="preserve">RT</t>
    </r>
  </si>
  <si>
    <r>
      <rPr>
        <b val="true"/>
        <sz val="11"/>
        <color rgb="FFFFFFFF"/>
        <rFont val="DejaVu Sans"/>
        <family val="2"/>
      </rPr>
      <t xml:space="preserve">日平均</t>
    </r>
    <r>
      <rPr>
        <b val="true"/>
        <sz val="11"/>
        <color rgb="FFFFFFFF"/>
        <rFont val="DejaVu Sans"/>
        <family val="2"/>
        <charset val="1"/>
      </rPr>
      <t xml:space="preserve">ER(%)</t>
    </r>
  </si>
  <si>
    <r>
      <rPr>
        <b val="true"/>
        <sz val="11"/>
        <color rgb="FFFFFFFF"/>
        <rFont val="DejaVu Sans"/>
        <family val="2"/>
      </rPr>
      <t xml:space="preserve">最高</t>
    </r>
    <r>
      <rPr>
        <b val="true"/>
        <sz val="11"/>
        <color rgb="FFFFFFFF"/>
        <rFont val="DejaVu Sans"/>
        <family val="2"/>
        <charset val="1"/>
      </rPr>
      <t xml:space="preserve">Imp</t>
    </r>
    <r>
      <rPr>
        <b val="true"/>
        <sz val="11"/>
        <color rgb="FFFFFFFF"/>
        <rFont val="DejaVu Sans"/>
        <family val="2"/>
      </rPr>
      <t xml:space="preserve">投稿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時間帯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</si>
  <si>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最高</t>
    </r>
    <r>
      <rPr>
        <b val="true"/>
        <sz val="11"/>
        <color rgb="FFFFFFFF"/>
        <rFont val="DejaVu Sans"/>
        <family val="2"/>
        <charset val="1"/>
      </rPr>
      <t xml:space="preserve">Imp</t>
    </r>
    <r>
      <rPr>
        <b val="true"/>
        <sz val="11"/>
        <color rgb="FFFFFFFF"/>
        <rFont val="DejaVu Sans"/>
        <family val="2"/>
      </rPr>
      <t xml:space="preserve">ピラー</t>
    </r>
  </si>
  <si>
    <r>
      <rPr>
        <b val="true"/>
        <sz val="11"/>
        <color rgb="FFFFFFFF"/>
        <rFont val="Arial"/>
        <family val="0"/>
        <charset val="1"/>
      </rPr>
      <t xml:space="preserve">KW</t>
    </r>
    <r>
      <rPr>
        <b val="true"/>
        <sz val="11"/>
        <color rgb="FFFFFFFF"/>
        <rFont val="DejaVu Sans"/>
        <family val="2"/>
      </rPr>
      <t xml:space="preserve">順位変動メモ</t>
    </r>
  </si>
  <si>
    <t xml:space="preserve">改善アクションメモ</t>
  </si>
  <si>
    <t xml:space="preserve">水</t>
  </si>
  <si>
    <t xml:space="preserve">木</t>
  </si>
  <si>
    <t xml:space="preserve">金</t>
  </si>
  <si>
    <t xml:space="preserve">土</t>
  </si>
  <si>
    <t xml:space="preserve">日</t>
  </si>
  <si>
    <t xml:space="preserve">月</t>
  </si>
  <si>
    <t xml:space="preserve">火</t>
  </si>
  <si>
    <t xml:space="preserve">■ 週次パフォーマンストレンド（自動集計）</t>
  </si>
  <si>
    <t xml:space="preserve">週</t>
  </si>
  <si>
    <r>
      <rPr>
        <b val="true"/>
        <sz val="11"/>
        <color rgb="FFFFFFFF"/>
        <rFont val="DejaVu Sans"/>
        <family val="2"/>
      </rPr>
      <t xml:space="preserve">週平均</t>
    </r>
    <r>
      <rPr>
        <b val="true"/>
        <sz val="11"/>
        <color rgb="FFFFFFFF"/>
        <rFont val="DejaVu Sans"/>
        <family val="2"/>
        <charset val="1"/>
      </rPr>
      <t xml:space="preserve">ER(%)</t>
    </r>
  </si>
  <si>
    <r>
      <rPr>
        <b val="true"/>
        <sz val="11"/>
        <color rgb="FFFFFFFF"/>
        <rFont val="DejaVu Sans"/>
        <family val="2"/>
      </rPr>
      <t xml:space="preserve">最高</t>
    </r>
    <r>
      <rPr>
        <b val="true"/>
        <sz val="11"/>
        <color rgb="FFFFFFFF"/>
        <rFont val="DejaVu Sans"/>
        <family val="2"/>
        <charset val="1"/>
      </rPr>
      <t xml:space="preserve">Imp</t>
    </r>
    <r>
      <rPr>
        <b val="true"/>
        <sz val="11"/>
        <color rgb="FFFFFFFF"/>
        <rFont val="DejaVu Sans"/>
        <family val="2"/>
      </rPr>
      <t xml:space="preserve">曜日</t>
    </r>
  </si>
  <si>
    <r>
      <rPr>
        <b val="true"/>
        <sz val="11"/>
        <color rgb="FFFFFFFF"/>
        <rFont val="DejaVu Sans"/>
        <family val="2"/>
      </rPr>
      <t xml:space="preserve">改善点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気づき</t>
    </r>
  </si>
  <si>
    <t xml:space="preserve">翌週アクション</t>
  </si>
  <si>
    <t xml:space="preserve">W1</t>
  </si>
  <si>
    <r>
      <rPr>
        <sz val="11"/>
        <color theme="1"/>
        <rFont val="Calibri"/>
        <family val="2"/>
        <charset val="1"/>
      </rPr>
      <t xml:space="preserve">04/15</t>
    </r>
    <r>
      <rPr>
        <sz val="11"/>
        <color theme="1"/>
        <rFont val="DejaVu Sans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04/21</t>
    </r>
  </si>
  <si>
    <t xml:space="preserve">W2</t>
  </si>
  <si>
    <r>
      <rPr>
        <sz val="11"/>
        <color theme="1"/>
        <rFont val="Calibri"/>
        <family val="2"/>
        <charset val="1"/>
      </rPr>
      <t xml:space="preserve">04/22</t>
    </r>
    <r>
      <rPr>
        <sz val="11"/>
        <color theme="1"/>
        <rFont val="DejaVu Sans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04/28</t>
    </r>
  </si>
  <si>
    <t xml:space="preserve">W3</t>
  </si>
  <si>
    <r>
      <rPr>
        <sz val="11"/>
        <color theme="1"/>
        <rFont val="Calibri"/>
        <family val="2"/>
        <charset val="1"/>
      </rPr>
      <t xml:space="preserve">04/29</t>
    </r>
    <r>
      <rPr>
        <sz val="11"/>
        <color theme="1"/>
        <rFont val="DejaVu Sans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05/05</t>
    </r>
  </si>
  <si>
    <t xml:space="preserve">W4</t>
  </si>
  <si>
    <r>
      <rPr>
        <sz val="11"/>
        <color theme="1"/>
        <rFont val="Calibri"/>
        <family val="2"/>
        <charset val="1"/>
      </rPr>
      <t xml:space="preserve">05/06</t>
    </r>
    <r>
      <rPr>
        <sz val="11"/>
        <color theme="1"/>
        <rFont val="DejaVu Sans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05/12</t>
    </r>
  </si>
  <si>
    <t xml:space="preserve">W5</t>
  </si>
  <si>
    <r>
      <rPr>
        <sz val="11"/>
        <color theme="1"/>
        <rFont val="Calibri"/>
        <family val="2"/>
        <charset val="1"/>
      </rPr>
      <t xml:space="preserve">05/13</t>
    </r>
    <r>
      <rPr>
        <sz val="11"/>
        <color theme="1"/>
        <rFont val="DejaVu Sans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05/19</t>
    </r>
  </si>
  <si>
    <t xml:space="preserve">W6</t>
  </si>
  <si>
    <r>
      <rPr>
        <sz val="11"/>
        <color theme="1"/>
        <rFont val="Calibri"/>
        <family val="2"/>
        <charset val="1"/>
      </rPr>
      <t xml:space="preserve">05/20</t>
    </r>
    <r>
      <rPr>
        <sz val="11"/>
        <color theme="1"/>
        <rFont val="DejaVu Sans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05/26</t>
    </r>
  </si>
  <si>
    <t xml:space="preserve">W7</t>
  </si>
  <si>
    <r>
      <rPr>
        <sz val="11"/>
        <color theme="1"/>
        <rFont val="Calibri"/>
        <family val="2"/>
        <charset val="1"/>
      </rPr>
      <t xml:space="preserve">05/27</t>
    </r>
    <r>
      <rPr>
        <sz val="11"/>
        <color theme="1"/>
        <rFont val="DejaVu Sans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06/02</t>
    </r>
  </si>
  <si>
    <t xml:space="preserve">W8</t>
  </si>
  <si>
    <r>
      <rPr>
        <sz val="11"/>
        <color theme="1"/>
        <rFont val="Calibri"/>
        <family val="2"/>
        <charset val="1"/>
      </rPr>
      <t xml:space="preserve">06/03</t>
    </r>
    <r>
      <rPr>
        <sz val="11"/>
        <color theme="1"/>
        <rFont val="DejaVu Sans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06/09</t>
    </r>
  </si>
  <si>
    <t xml:space="preserve">W9</t>
  </si>
  <si>
    <r>
      <rPr>
        <sz val="11"/>
        <color theme="1"/>
        <rFont val="Calibri"/>
        <family val="2"/>
        <charset val="1"/>
      </rPr>
      <t xml:space="preserve">06/10</t>
    </r>
    <r>
      <rPr>
        <sz val="11"/>
        <color theme="1"/>
        <rFont val="DejaVu Sans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06/16</t>
    </r>
  </si>
  <si>
    <t xml:space="preserve">W10</t>
  </si>
  <si>
    <r>
      <rPr>
        <sz val="11"/>
        <color theme="1"/>
        <rFont val="Calibri"/>
        <family val="2"/>
        <charset val="1"/>
      </rPr>
      <t xml:space="preserve">06/17</t>
    </r>
    <r>
      <rPr>
        <sz val="11"/>
        <color theme="1"/>
        <rFont val="DejaVu Sans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06/23</t>
    </r>
  </si>
  <si>
    <t xml:space="preserve">W11</t>
  </si>
  <si>
    <r>
      <rPr>
        <sz val="11"/>
        <color theme="1"/>
        <rFont val="Calibri"/>
        <family val="2"/>
        <charset val="1"/>
      </rPr>
      <t xml:space="preserve">06/24</t>
    </r>
    <r>
      <rPr>
        <sz val="11"/>
        <color theme="1"/>
        <rFont val="DejaVu Sans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06/30</t>
    </r>
  </si>
  <si>
    <t xml:space="preserve">W12</t>
  </si>
  <si>
    <r>
      <rPr>
        <sz val="11"/>
        <color theme="1"/>
        <rFont val="Calibri"/>
        <family val="2"/>
        <charset val="1"/>
      </rPr>
      <t xml:space="preserve">07/01</t>
    </r>
    <r>
      <rPr>
        <sz val="11"/>
        <color theme="1"/>
        <rFont val="DejaVu Sans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07/07</t>
    </r>
  </si>
  <si>
    <t xml:space="preserve">W13</t>
  </si>
  <si>
    <r>
      <rPr>
        <sz val="11"/>
        <color theme="1"/>
        <rFont val="Calibri"/>
        <family val="2"/>
        <charset val="1"/>
      </rPr>
      <t xml:space="preserve">07/08</t>
    </r>
    <r>
      <rPr>
        <sz val="11"/>
        <color theme="1"/>
        <rFont val="DejaVu Sans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07/14</t>
    </r>
  </si>
  <si>
    <r>
      <rPr>
        <b val="true"/>
        <sz val="14"/>
        <color rgb="FFE91E63"/>
        <rFont val="Arial"/>
        <family val="0"/>
        <charset val="1"/>
      </rPr>
      <t xml:space="preserve">■ AI</t>
    </r>
    <r>
      <rPr>
        <b val="true"/>
        <sz val="14"/>
        <color rgb="FFE91E63"/>
        <rFont val="DejaVu Sans"/>
        <family val="2"/>
      </rPr>
      <t xml:space="preserve">投稿生成へのフィードバックループ</t>
    </r>
  </si>
  <si>
    <t xml:space="preserve">このシートの使い方</t>
  </si>
  <si>
    <t xml:space="preserve">毎週月曜に「ピラー別分析」と「日次ダイジェスト」を見て、以下を記録。</t>
  </si>
  <si>
    <r>
      <rPr>
        <sz val="11"/>
        <color theme="1"/>
        <rFont val="DejaVu Sans"/>
        <family val="2"/>
      </rPr>
      <t xml:space="preserve">記録内容は</t>
    </r>
    <r>
      <rPr>
        <sz val="11"/>
        <color theme="1"/>
        <rFont val="DejaVu Sans"/>
        <family val="2"/>
        <charset val="1"/>
      </rPr>
      <t xml:space="preserve">Cowork</t>
    </r>
    <r>
      <rPr>
        <sz val="11"/>
        <color theme="1"/>
        <rFont val="DejaVu Sans"/>
        <family val="2"/>
      </rPr>
      <t xml:space="preserve">スケジュールタスクのプロンプト改善に直接反映させる。</t>
    </r>
  </si>
  <si>
    <t xml:space="preserve">記録日</t>
  </si>
  <si>
    <t xml:space="preserve">カテゴリ</t>
  </si>
  <si>
    <t xml:space="preserve">発見事項</t>
  </si>
  <si>
    <t xml:space="preserve">具体的改善アクション</t>
  </si>
  <si>
    <t xml:space="preserve">プロンプト反映済み</t>
  </si>
  <si>
    <t xml:space="preserve">効果確認日</t>
  </si>
  <si>
    <t xml:space="preserve">ピラー配分</t>
  </si>
  <si>
    <r>
      <rPr>
        <sz val="11"/>
        <color theme="1"/>
        <rFont val="DejaVu Sans"/>
        <family val="2"/>
      </rPr>
      <t xml:space="preserve">共感系の朝投稿の</t>
    </r>
    <r>
      <rPr>
        <sz val="11"/>
        <color theme="1"/>
        <rFont val="DejaVu Sans"/>
        <family val="2"/>
        <charset val="1"/>
      </rPr>
      <t xml:space="preserve">ER</t>
    </r>
    <r>
      <rPr>
        <sz val="11"/>
        <color theme="1"/>
        <rFont val="DejaVu Sans"/>
        <family val="2"/>
      </rPr>
      <t xml:space="preserve">が他ピラーの</t>
    </r>
    <r>
      <rPr>
        <sz val="11"/>
        <color theme="1"/>
        <rFont val="DejaVu Sans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倍 → 朝は共感固定が最適</t>
    </r>
  </si>
  <si>
    <t xml:space="preserve">スケジュールタスクの朝投稿指定を『共感固定』に変更</t>
  </si>
  <si>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DejaVu Sans"/>
        <family val="2"/>
      </rPr>
      <t xml:space="preserve">時台のインプレッションが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DejaVu Sans"/>
        <family val="2"/>
      </rPr>
      <t xml:space="preserve">時台の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DejaVu Sans"/>
        <family val="2"/>
      </rPr>
      <t xml:space="preserve">倍</t>
    </r>
  </si>
  <si>
    <r>
      <rPr>
        <sz val="11"/>
        <color theme="1"/>
        <rFont val="DejaVu Sans"/>
        <family val="2"/>
      </rPr>
      <t xml:space="preserve">夜</t>
    </r>
    <r>
      <rPr>
        <sz val="11"/>
        <color theme="1"/>
        <rFont val="DejaVu Sans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投稿の優先度を上げ、キャスト紹介を</t>
    </r>
    <r>
      <rPr>
        <sz val="11"/>
        <color theme="1"/>
        <rFont val="DejaVu Sans"/>
        <family val="2"/>
        <charset val="1"/>
      </rPr>
      <t xml:space="preserve">22</t>
    </r>
    <r>
      <rPr>
        <sz val="11"/>
        <color theme="1"/>
        <rFont val="DejaVu Sans"/>
        <family val="2"/>
      </rPr>
      <t xml:space="preserve">時に移動</t>
    </r>
  </si>
  <si>
    <t xml:space="preserve">画像効果</t>
  </si>
  <si>
    <r>
      <rPr>
        <sz val="11"/>
        <color theme="1"/>
        <rFont val="DejaVu Sans"/>
        <family val="2"/>
      </rPr>
      <t xml:space="preserve">画像あり投稿の</t>
    </r>
    <r>
      <rPr>
        <sz val="11"/>
        <color theme="1"/>
        <rFont val="DejaVu Sans"/>
        <family val="2"/>
        <charset val="1"/>
      </rPr>
      <t xml:space="preserve">Imp</t>
    </r>
    <r>
      <rPr>
        <sz val="11"/>
        <color theme="1"/>
        <rFont val="DejaVu Sans"/>
        <family val="2"/>
      </rPr>
      <t xml:space="preserve">が画像なしの</t>
    </r>
    <r>
      <rPr>
        <sz val="11"/>
        <color theme="1"/>
        <rFont val="DejaVu Sans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倍</t>
    </r>
  </si>
  <si>
    <t xml:space="preserve">全投稿に画像案をつけるようプロンプト強化</t>
  </si>
  <si>
    <t xml:space="preserve">文体</t>
  </si>
  <si>
    <r>
      <rPr>
        <sz val="11"/>
        <color theme="1"/>
        <rFont val="DejaVu Sans"/>
        <family val="2"/>
      </rPr>
      <t xml:space="preserve">質問形式の投稿のリプライ数が通常の</t>
    </r>
    <r>
      <rPr>
        <sz val="11"/>
        <color theme="1"/>
        <rFont val="DejaVu Sans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倍</t>
    </r>
  </si>
  <si>
    <r>
      <rPr>
        <sz val="11"/>
        <color theme="1"/>
        <rFont val="DejaVu Sans"/>
        <family val="2"/>
      </rPr>
      <t xml:space="preserve">インタラクション枠以外でも週</t>
    </r>
    <r>
      <rPr>
        <sz val="11"/>
        <color theme="1"/>
        <rFont val="DejaVu Sans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回は質問形式を混ぜる指示追加</t>
    </r>
  </si>
  <si>
    <r>
      <rPr>
        <sz val="11"/>
        <color theme="1"/>
        <rFont val="Calibri"/>
        <family val="2"/>
        <charset val="1"/>
      </rPr>
      <t xml:space="preserve">BAN</t>
    </r>
    <r>
      <rPr>
        <sz val="11"/>
        <color theme="1"/>
        <rFont val="DejaVu Sans"/>
        <family val="2"/>
      </rPr>
      <t xml:space="preserve">回避</t>
    </r>
  </si>
  <si>
    <t xml:space="preserve">『セラピスト』単語を含む投稿のシャドバン率が高い</t>
  </si>
  <si>
    <t xml:space="preserve">『セラピスト』→『キャスト』に統一するルール追加</t>
  </si>
  <si>
    <t xml:space="preserve">■ プロンプト改善チェックリスト（月次）</t>
  </si>
  <si>
    <r>
      <rPr>
        <sz val="10"/>
        <rFont val="DejaVu Sans"/>
        <family val="2"/>
      </rPr>
      <t xml:space="preserve">□ 最も</t>
    </r>
    <r>
      <rPr>
        <sz val="10"/>
        <rFont val="DejaVu Sans"/>
        <family val="2"/>
        <charset val="1"/>
      </rPr>
      <t xml:space="preserve">ER</t>
    </r>
    <r>
      <rPr>
        <sz val="10"/>
        <rFont val="DejaVu Sans"/>
        <family val="2"/>
      </rPr>
      <t xml:space="preserve">が高いピラーの投稿比率を</t>
    </r>
    <r>
      <rPr>
        <sz val="10"/>
        <rFont val="DejaVu Sans"/>
        <family val="2"/>
        <charset val="1"/>
      </rPr>
      <t xml:space="preserve">+5%</t>
    </r>
    <r>
      <rPr>
        <sz val="10"/>
        <rFont val="DejaVu Sans"/>
        <family val="2"/>
      </rPr>
      <t xml:space="preserve">増やしたか</t>
    </r>
  </si>
  <si>
    <r>
      <rPr>
        <sz val="10"/>
        <rFont val="DejaVu Sans"/>
        <family val="2"/>
      </rPr>
      <t xml:space="preserve">□ 最も</t>
    </r>
    <r>
      <rPr>
        <sz val="10"/>
        <rFont val="DejaVu Sans"/>
        <family val="2"/>
        <charset val="1"/>
      </rPr>
      <t xml:space="preserve">ER</t>
    </r>
    <r>
      <rPr>
        <sz val="10"/>
        <rFont val="DejaVu Sans"/>
        <family val="2"/>
      </rPr>
      <t xml:space="preserve">が低いピラーの投稿文体を見直したか</t>
    </r>
  </si>
  <si>
    <t xml:space="preserve">□ 最も反応が良い時間帯にベスト投稿を配置しているか</t>
  </si>
  <si>
    <r>
      <rPr>
        <sz val="10"/>
        <rFont val="DejaVu Sans"/>
        <family val="2"/>
      </rPr>
      <t xml:space="preserve">□ 画像あり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なしのパフォーマンス差を踏まえた指示になっているか</t>
    </r>
  </si>
  <si>
    <r>
      <rPr>
        <sz val="10"/>
        <rFont val="DejaVu Sans"/>
        <family val="2"/>
      </rPr>
      <t xml:space="preserve">□ 過去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ヶ月で新たに発見した</t>
    </r>
    <r>
      <rPr>
        <sz val="10"/>
        <rFont val="DejaVu Sans"/>
        <family val="2"/>
        <charset val="1"/>
      </rPr>
      <t xml:space="preserve">NG</t>
    </r>
    <r>
      <rPr>
        <sz val="10"/>
        <rFont val="DejaVu Sans"/>
        <family val="2"/>
      </rPr>
      <t xml:space="preserve">ワードを</t>
    </r>
    <r>
      <rPr>
        <sz val="10"/>
        <rFont val="DejaVu Sans"/>
        <family val="2"/>
        <charset val="1"/>
      </rPr>
      <t xml:space="preserve">BAN</t>
    </r>
    <r>
      <rPr>
        <sz val="10"/>
        <rFont val="DejaVu Sans"/>
        <family val="2"/>
      </rPr>
      <t xml:space="preserve">回避リストに追加したか</t>
    </r>
  </si>
  <si>
    <r>
      <rPr>
        <sz val="10"/>
        <rFont val="DejaVu Sans"/>
        <family val="2"/>
      </rPr>
      <t xml:space="preserve">□ フォロワー純増ペースが目標</t>
    </r>
    <r>
      <rPr>
        <sz val="10"/>
        <rFont val="DejaVu Sans"/>
        <family val="2"/>
        <charset val="1"/>
      </rPr>
      <t xml:space="preserve">(+38/</t>
    </r>
    <r>
      <rPr>
        <sz val="10"/>
        <rFont val="DejaVu Sans"/>
        <family val="2"/>
      </rPr>
      <t xml:space="preserve">日</t>
    </r>
    <r>
      <rPr>
        <sz val="10"/>
        <rFont val="DejaVu Sans"/>
        <family val="2"/>
        <charset val="1"/>
      </rPr>
      <t xml:space="preserve">)</t>
    </r>
    <r>
      <rPr>
        <sz val="10"/>
        <rFont val="DejaVu Sans"/>
        <family val="2"/>
      </rPr>
      <t xml:space="preserve">を下回っていたら投稿数を</t>
    </r>
    <r>
      <rPr>
        <sz val="10"/>
        <rFont val="DejaVu Sans"/>
        <family val="2"/>
        <charset val="1"/>
      </rPr>
      <t xml:space="preserve">+1</t>
    </r>
    <r>
      <rPr>
        <sz val="10"/>
        <rFont val="DejaVu Sans"/>
        <family val="2"/>
      </rPr>
      <t xml:space="preserve">本にしたか</t>
    </r>
  </si>
  <si>
    <r>
      <rPr>
        <sz val="10"/>
        <rFont val="DejaVu Sans"/>
        <family val="2"/>
      </rPr>
      <t xml:space="preserve">□ バズった投稿の共通点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語尾・構成・時事ネタ等</t>
    </r>
    <r>
      <rPr>
        <sz val="10"/>
        <rFont val="DejaVu Sans"/>
        <family val="2"/>
        <charset val="1"/>
      </rPr>
      <t xml:space="preserve">)</t>
    </r>
    <r>
      <rPr>
        <sz val="10"/>
        <rFont val="DejaVu Sans"/>
        <family val="2"/>
      </rPr>
      <t xml:space="preserve">をプロンプトに反映したか</t>
    </r>
  </si>
  <si>
    <t xml:space="preserve">タスク内容</t>
  </si>
  <si>
    <t xml:space="preserve">担当</t>
  </si>
  <si>
    <t xml:space="preserve">実施</t>
  </si>
  <si>
    <t xml:space="preserve">備考</t>
  </si>
  <si>
    <t xml:space="preserve">09:00-10:00</t>
  </si>
  <si>
    <t xml:space="preserve">計測</t>
  </si>
  <si>
    <r>
      <rPr>
        <sz val="11"/>
        <color theme="1"/>
        <rFont val="Calibri"/>
        <family val="2"/>
        <charset val="1"/>
      </rPr>
      <t xml:space="preserve">SearchConsole/GA4</t>
    </r>
    <r>
      <rPr>
        <sz val="11"/>
        <color theme="1"/>
        <rFont val="DejaVu Sans"/>
        <family val="2"/>
      </rPr>
      <t xml:space="preserve">で前日順位確認</t>
    </r>
  </si>
  <si>
    <r>
      <rPr>
        <sz val="11"/>
        <color theme="1"/>
        <rFont val="Calibri"/>
        <family val="2"/>
        <charset val="1"/>
      </rPr>
      <t xml:space="preserve">SEO</t>
    </r>
    <r>
      <rPr>
        <sz val="11"/>
        <color theme="1"/>
        <rFont val="DejaVu Sans"/>
        <family val="2"/>
      </rPr>
      <t xml:space="preserve">責任者</t>
    </r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</si>
  <si>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DejaVu Sans"/>
        <family val="2"/>
      </rPr>
      <t xml:space="preserve">公式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サブのインサイト確認・</t>
    </r>
    <r>
      <rPr>
        <sz val="11"/>
        <color theme="1"/>
        <rFont val="Calibri"/>
        <family val="2"/>
        <charset val="1"/>
      </rPr>
      <t xml:space="preserve">BAN</t>
    </r>
    <r>
      <rPr>
        <sz val="11"/>
        <color theme="1"/>
        <rFont val="DejaVu Sans"/>
        <family val="2"/>
      </rPr>
      <t xml:space="preserve">警告チェック</t>
    </r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</si>
  <si>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DejaVu Sans"/>
        <family val="2"/>
      </rPr>
      <t xml:space="preserve">オペ</t>
    </r>
  </si>
  <si>
    <t xml:space="preserve">10:00-12:00</t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</si>
  <si>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DejaVu Sans"/>
        <family val="2"/>
      </rPr>
      <t xml:space="preserve">運用</t>
    </r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</si>
  <si>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DejaVu Sans"/>
        <family val="2"/>
      </rPr>
      <t xml:space="preserve">朝投稿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共感系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予約・昼投稿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コラム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予約</t>
    </r>
  </si>
  <si>
    <r>
      <rPr>
        <sz val="11"/>
        <color theme="1"/>
        <rFont val="DejaVu Sans"/>
        <family val="2"/>
      </rPr>
      <t xml:space="preserve">前日リプ・引用</t>
    </r>
    <r>
      <rPr>
        <sz val="11"/>
        <color theme="1"/>
        <rFont val="DejaVu Sans"/>
        <family val="2"/>
        <charset val="1"/>
      </rPr>
      <t xml:space="preserve">RT</t>
    </r>
    <r>
      <rPr>
        <sz val="11"/>
        <color theme="1"/>
        <rFont val="DejaVu Sans"/>
        <family val="2"/>
      </rPr>
      <t xml:space="preserve">対応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目安</t>
    </r>
    <r>
      <rPr>
        <sz val="11"/>
        <color theme="1"/>
        <rFont val="DejaVu Sans"/>
        <family val="2"/>
        <charset val="1"/>
      </rPr>
      <t xml:space="preserve">30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DejaVu Sans"/>
        <family val="2"/>
        <charset val="1"/>
      </rPr>
      <t xml:space="preserve">)</t>
    </r>
  </si>
  <si>
    <t xml:space="preserve">13:00-17:00</t>
  </si>
  <si>
    <t xml:space="preserve">コンテンツ</t>
  </si>
  <si>
    <r>
      <rPr>
        <sz val="11"/>
        <color theme="1"/>
        <rFont val="DejaVu Sans"/>
        <family val="2"/>
      </rPr>
      <t xml:space="preserve">ブログ記事執筆</t>
    </r>
    <r>
      <rPr>
        <sz val="11"/>
        <color theme="1"/>
        <rFont val="DejaVu Sans"/>
        <family val="2"/>
        <charset val="1"/>
      </rPr>
      <t xml:space="preserve">(2,000</t>
    </r>
    <r>
      <rPr>
        <sz val="11"/>
        <color theme="1"/>
        <rFont val="DejaVu Sans"/>
        <family val="2"/>
      </rPr>
      <t xml:space="preserve">字以上・</t>
    </r>
    <r>
      <rPr>
        <sz val="11"/>
        <color theme="1"/>
        <rFont val="DejaVu Sans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日</t>
    </r>
    <r>
      <rPr>
        <sz val="11"/>
        <color theme="1"/>
        <rFont val="DejaVu Sans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本</t>
    </r>
    <r>
      <rPr>
        <sz val="11"/>
        <color theme="1"/>
        <rFont val="DejaVu Sans"/>
        <family val="2"/>
        <charset val="1"/>
      </rPr>
      <t xml:space="preserve">)</t>
    </r>
  </si>
  <si>
    <t xml:space="preserve">ライター</t>
  </si>
  <si>
    <r>
      <rPr>
        <sz val="11"/>
        <color theme="1"/>
        <rFont val="DejaVu Sans"/>
        <family val="2"/>
      </rPr>
      <t xml:space="preserve">内部リンク調整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構造化データ点検</t>
    </r>
  </si>
  <si>
    <t xml:space="preserve">17:00-19:00</t>
  </si>
  <si>
    <r>
      <rPr>
        <sz val="11"/>
        <color theme="1"/>
        <rFont val="DejaVu Sans"/>
        <family val="2"/>
      </rPr>
      <t xml:space="preserve">夜投稿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キャスト紹介</t>
    </r>
    <r>
      <rPr>
        <sz val="11"/>
        <color theme="1"/>
        <rFont val="DejaVu Sans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画像作成・予約</t>
    </r>
  </si>
  <si>
    <r>
      <rPr>
        <sz val="11"/>
        <color theme="1"/>
        <rFont val="DejaVu Sans"/>
        <family val="2"/>
      </rPr>
      <t xml:space="preserve">デザイナー</t>
    </r>
    <r>
      <rPr>
        <sz val="11"/>
        <color theme="1"/>
        <rFont val="DejaVu Sans"/>
        <family val="2"/>
        <charset val="1"/>
      </rPr>
      <t xml:space="preserve">/X</t>
    </r>
    <r>
      <rPr>
        <sz val="11"/>
        <color theme="1"/>
        <rFont val="DejaVu Sans"/>
        <family val="2"/>
      </rPr>
      <t xml:space="preserve">オペ</t>
    </r>
  </si>
  <si>
    <t xml:space="preserve">キャスト個人垢の投稿チェック・サポート</t>
  </si>
  <si>
    <t xml:space="preserve">21:00-23:00</t>
  </si>
  <si>
    <t xml:space="preserve">夜投稿リアルタイム監視・リプ返信</t>
  </si>
  <si>
    <t xml:space="preserve">翌日投稿ネタの仕込み</t>
  </si>
  <si>
    <t xml:space="preserve">タスク</t>
  </si>
  <si>
    <t xml:space="preserve">目安時間</t>
  </si>
  <si>
    <t xml:space="preserve">成果物</t>
  </si>
  <si>
    <r>
      <rPr>
        <sz val="11"/>
        <color theme="1"/>
        <rFont val="DejaVu Sans"/>
        <family val="2"/>
      </rPr>
      <t xml:space="preserve">計測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企画</t>
    </r>
  </si>
  <si>
    <r>
      <rPr>
        <sz val="11"/>
        <color theme="1"/>
        <rFont val="DejaVu Sans"/>
        <family val="2"/>
      </rPr>
      <t xml:space="preserve">週次</t>
    </r>
    <r>
      <rPr>
        <sz val="11"/>
        <color theme="1"/>
        <rFont val="DejaVu Sans"/>
        <family val="2"/>
        <charset val="1"/>
      </rPr>
      <t xml:space="preserve">KPI</t>
    </r>
    <r>
      <rPr>
        <sz val="11"/>
        <color theme="1"/>
        <rFont val="DejaVu Sans"/>
        <family val="2"/>
      </rPr>
      <t xml:space="preserve">レビュー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順位・流入・フォロワー増減</t>
    </r>
    <r>
      <rPr>
        <sz val="11"/>
        <color theme="1"/>
        <rFont val="DejaVu Sans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と今週企画決定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</si>
  <si>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DejaVu Sans"/>
        <family val="2"/>
      </rPr>
      <t xml:space="preserve">分</t>
    </r>
  </si>
  <si>
    <r>
      <rPr>
        <sz val="11"/>
        <color theme="1"/>
        <rFont val="DejaVu Sans"/>
        <family val="2"/>
      </rPr>
      <t xml:space="preserve">週次レポ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企画メモ</t>
    </r>
  </si>
  <si>
    <r>
      <rPr>
        <sz val="11"/>
        <color theme="1"/>
        <rFont val="DejaVu Sans"/>
        <family val="2"/>
      </rPr>
      <t xml:space="preserve">今週の</t>
    </r>
    <r>
      <rPr>
        <sz val="11"/>
        <color theme="1"/>
        <rFont val="DejaVu Sans"/>
        <family val="2"/>
        <charset val="1"/>
      </rPr>
      <t xml:space="preserve">X</t>
    </r>
    <r>
      <rPr>
        <sz val="11"/>
        <color theme="1"/>
        <rFont val="DejaVu Sans"/>
        <family val="2"/>
      </rPr>
      <t xml:space="preserve">コンテンツカレンダー確定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</si>
  <si>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DejaVu Sans"/>
        <family val="2"/>
      </rPr>
      <t xml:space="preserve">分</t>
    </r>
  </si>
  <si>
    <t xml:space="preserve">週次カレンダー</t>
  </si>
  <si>
    <r>
      <rPr>
        <sz val="11"/>
        <color theme="1"/>
        <rFont val="DejaVu Sans"/>
        <family val="2"/>
      </rPr>
      <t xml:space="preserve">ロングテール記事</t>
    </r>
    <r>
      <rPr>
        <sz val="11"/>
        <color theme="1"/>
        <rFont val="DejaVu Sans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本公開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エリア</t>
    </r>
    <r>
      <rPr>
        <sz val="11"/>
        <color theme="1"/>
        <rFont val="DejaVu Sans"/>
        <family val="2"/>
        <charset val="1"/>
      </rPr>
      <t xml:space="preserve">×</t>
    </r>
    <r>
      <rPr>
        <sz val="11"/>
        <color theme="1"/>
        <rFont val="DejaVu Sans"/>
        <family val="2"/>
      </rPr>
      <t xml:space="preserve">ニーズ</t>
    </r>
    <r>
      <rPr>
        <sz val="11"/>
        <color theme="1"/>
        <rFont val="DejaVu Sans"/>
        <family val="2"/>
        <charset val="1"/>
      </rPr>
      <t xml:space="preserve">)</t>
    </r>
  </si>
  <si>
    <t xml:space="preserve">半日</t>
  </si>
  <si>
    <r>
      <rPr>
        <sz val="11"/>
        <color theme="1"/>
        <rFont val="DejaVu Sans"/>
        <family val="2"/>
      </rPr>
      <t xml:space="preserve">公開記事</t>
    </r>
    <r>
      <rPr>
        <sz val="11"/>
        <color theme="1"/>
        <rFont val="DejaVu Sans"/>
        <family val="2"/>
        <charset val="1"/>
      </rPr>
      <t xml:space="preserve">URL</t>
    </r>
  </si>
  <si>
    <r>
      <rPr>
        <sz val="11"/>
        <color theme="1"/>
        <rFont val="DejaVu Sans"/>
        <family val="2"/>
      </rPr>
      <t xml:space="preserve">企画投稿</t>
    </r>
    <r>
      <rPr>
        <sz val="11"/>
        <color theme="1"/>
        <rFont val="DejaVu Sans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本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アンケート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質問箱</t>
    </r>
    <r>
      <rPr>
        <sz val="11"/>
        <color theme="1"/>
        <rFont val="DejaVu Sans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</si>
  <si>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投稿</t>
    </r>
    <r>
      <rPr>
        <sz val="11"/>
        <color theme="1"/>
        <rFont val="DejaVu Sans"/>
        <family val="2"/>
        <charset val="1"/>
      </rPr>
      <t xml:space="preserve">URL</t>
    </r>
  </si>
  <si>
    <r>
      <rPr>
        <sz val="11"/>
        <color theme="1"/>
        <rFont val="DejaVu Sans"/>
        <family val="2"/>
      </rPr>
      <t xml:space="preserve">キャストインタビュー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体験談記事</t>
    </r>
    <r>
      <rPr>
        <sz val="11"/>
        <color theme="1"/>
        <rFont val="DejaVu Sans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本公開</t>
    </r>
  </si>
  <si>
    <r>
      <rPr>
        <sz val="11"/>
        <color theme="1"/>
        <rFont val="DejaVu Sans"/>
        <family val="2"/>
      </rPr>
      <t xml:space="preserve">深掘り企画</t>
    </r>
    <r>
      <rPr>
        <sz val="11"/>
        <color theme="1"/>
        <rFont val="DejaVu Sans"/>
        <family val="2"/>
        <charset val="1"/>
      </rPr>
      <t xml:space="preserve">(Q&amp;A</t>
    </r>
    <r>
      <rPr>
        <sz val="11"/>
        <color theme="1"/>
        <rFont val="DejaVu Sans"/>
        <family val="2"/>
      </rPr>
      <t xml:space="preserve">・裏側スレッド</t>
    </r>
    <r>
      <rPr>
        <sz val="11"/>
        <color theme="1"/>
        <rFont val="DejaVu Sans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</si>
  <si>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ブログ</t>
    </r>
    <r>
      <rPr>
        <sz val="11"/>
        <color theme="1"/>
        <rFont val="DejaVu Sans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本目の執筆</t>
    </r>
  </si>
  <si>
    <t xml:space="preserve">下書き</t>
  </si>
  <si>
    <t xml:space="preserve">競合分析</t>
  </si>
  <si>
    <r>
      <rPr>
        <sz val="11"/>
        <color theme="1"/>
        <rFont val="DejaVu Sans"/>
        <family val="2"/>
      </rPr>
      <t xml:space="preserve">競合サイト上位・競合</t>
    </r>
    <r>
      <rPr>
        <sz val="11"/>
        <color theme="1"/>
        <rFont val="DejaVu Sans"/>
        <family val="2"/>
        <charset val="1"/>
      </rPr>
      <t xml:space="preserve">X</t>
    </r>
    <r>
      <rPr>
        <sz val="11"/>
        <color theme="1"/>
        <rFont val="DejaVu Sans"/>
        <family val="2"/>
      </rPr>
      <t xml:space="preserve">の動向分析</t>
    </r>
  </si>
  <si>
    <t xml:space="preserve">分析メモ</t>
  </si>
  <si>
    <r>
      <rPr>
        <sz val="11"/>
        <color theme="1"/>
        <rFont val="DejaVu Sans"/>
        <family val="2"/>
      </rPr>
      <t xml:space="preserve">ニュース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業界トレンド記事</t>
    </r>
    <r>
      <rPr>
        <sz val="11"/>
        <color theme="1"/>
        <rFont val="DejaVu Sans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本公開</t>
    </r>
  </si>
  <si>
    <r>
      <rPr>
        <sz val="11"/>
        <color theme="1"/>
        <rFont val="DejaVu Sans"/>
        <family val="2"/>
      </rPr>
      <t xml:space="preserve">週末キャンペーン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キャスト紹介集中投稿</t>
    </r>
  </si>
  <si>
    <t xml:space="preserve">運用点検</t>
  </si>
  <si>
    <t xml:space="preserve">翌週コンテンツカレンダー確定・バックアップ・サブ垢点検</t>
  </si>
  <si>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DejaVu Sans"/>
        <family val="2"/>
      </rPr>
      <t xml:space="preserve">分</t>
    </r>
  </si>
  <si>
    <t xml:space="preserve">翌週カレンダー</t>
  </si>
  <si>
    <t xml:space="preserve">タイミング</t>
  </si>
  <si>
    <t xml:space="preserve">頻度</t>
  </si>
  <si>
    <r>
      <rPr>
        <sz val="11"/>
        <color theme="1"/>
        <rFont val="DejaVu Sans"/>
        <family val="2"/>
      </rPr>
      <t xml:space="preserve">月初</t>
    </r>
    <r>
      <rPr>
        <sz val="11"/>
        <color theme="1"/>
        <rFont val="DejaVu Sans"/>
        <family val="2"/>
        <charset val="1"/>
      </rPr>
      <t xml:space="preserve">(1-3</t>
    </r>
    <r>
      <rPr>
        <sz val="11"/>
        <color theme="1"/>
        <rFont val="DejaVu Sans"/>
        <family val="2"/>
      </rPr>
      <t xml:space="preserve">日</t>
    </r>
    <r>
      <rPr>
        <sz val="11"/>
        <color theme="1"/>
        <rFont val="DejaVu Sans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</si>
  <si>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SC/GA4/X</t>
    </r>
    <r>
      <rPr>
        <sz val="11"/>
        <color theme="1"/>
        <rFont val="DejaVu Sans"/>
        <family val="2"/>
      </rPr>
      <t xml:space="preserve">アナリ 月次レポート作成・</t>
    </r>
    <r>
      <rPr>
        <sz val="11"/>
        <color theme="1"/>
        <rFont val="Calibri"/>
        <family val="2"/>
        <charset val="1"/>
      </rPr>
      <t xml:space="preserve">KGI/KPI</t>
    </r>
    <r>
      <rPr>
        <sz val="11"/>
        <color theme="1"/>
        <rFont val="DejaVu Sans"/>
        <family val="2"/>
      </rPr>
      <t xml:space="preserve">進捗レビュー</t>
    </r>
  </si>
  <si>
    <t xml:space="preserve">月次レポ</t>
  </si>
  <si>
    <t xml:space="preserve">毎月</t>
  </si>
  <si>
    <t xml:space="preserve">企画</t>
  </si>
  <si>
    <r>
      <rPr>
        <sz val="11"/>
        <color theme="1"/>
        <rFont val="DejaVu Sans"/>
        <family val="2"/>
      </rPr>
      <t xml:space="preserve">月次コンテンツテーマ策定</t>
    </r>
    <r>
      <rPr>
        <sz val="11"/>
        <color theme="1"/>
        <rFont val="DejaVu Sans"/>
        <family val="2"/>
        <charset val="1"/>
      </rPr>
      <t xml:space="preserve">(SEO/X)</t>
    </r>
  </si>
  <si>
    <t xml:space="preserve">企画書</t>
  </si>
  <si>
    <r>
      <rPr>
        <sz val="11"/>
        <color theme="1"/>
        <rFont val="DejaVu Sans"/>
        <family val="2"/>
      </rPr>
      <t xml:space="preserve">中旬</t>
    </r>
    <r>
      <rPr>
        <sz val="11"/>
        <color theme="1"/>
        <rFont val="DejaVu Sans"/>
        <family val="2"/>
        <charset val="1"/>
      </rPr>
      <t xml:space="preserve">(10-15</t>
    </r>
    <r>
      <rPr>
        <sz val="11"/>
        <color theme="1"/>
        <rFont val="DejaVu Sans"/>
        <family val="2"/>
      </rPr>
      <t xml:space="preserve">日</t>
    </r>
    <r>
      <rPr>
        <sz val="11"/>
        <color theme="1"/>
        <rFont val="DejaVu Sans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</si>
  <si>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競合</t>
    </r>
    <r>
      <rPr>
        <sz val="11"/>
        <color theme="1"/>
        <rFont val="DejaVu Sans"/>
        <family val="2"/>
        <charset val="1"/>
      </rPr>
      <t xml:space="preserve">SEO</t>
    </r>
    <r>
      <rPr>
        <sz val="11"/>
        <color theme="1"/>
        <rFont val="DejaVu Sans"/>
        <family val="2"/>
      </rPr>
      <t xml:space="preserve">上位</t>
    </r>
    <r>
      <rPr>
        <sz val="11"/>
        <color theme="1"/>
        <rFont val="DejaVu Sans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サイト分析・</t>
    </r>
    <r>
      <rPr>
        <sz val="11"/>
        <color theme="1"/>
        <rFont val="DejaVu Sans"/>
        <family val="2"/>
        <charset val="1"/>
      </rPr>
      <t xml:space="preserve">KW GAP</t>
    </r>
    <r>
      <rPr>
        <sz val="11"/>
        <color theme="1"/>
        <rFont val="DejaVu Sans"/>
        <family val="2"/>
      </rPr>
      <t xml:space="preserve">抽出</t>
    </r>
  </si>
  <si>
    <r>
      <rPr>
        <sz val="11"/>
        <color theme="1"/>
        <rFont val="Calibri"/>
        <family val="2"/>
        <charset val="1"/>
      </rPr>
      <t xml:space="preserve">GAP</t>
    </r>
    <r>
      <rPr>
        <sz val="11"/>
        <color theme="1"/>
        <rFont val="DejaVu Sans"/>
        <family val="2"/>
      </rPr>
      <t xml:space="preserve">分析シート</t>
    </r>
  </si>
  <si>
    <r>
      <rPr>
        <sz val="11"/>
        <color theme="1"/>
        <rFont val="Calibri"/>
        <family val="2"/>
        <charset val="1"/>
      </rPr>
      <t xml:space="preserve">PR/</t>
    </r>
    <r>
      <rPr>
        <sz val="11"/>
        <color theme="1"/>
        <rFont val="DejaVu Sans"/>
        <family val="2"/>
      </rPr>
      <t xml:space="preserve">被リンク</t>
    </r>
  </si>
  <si>
    <r>
      <rPr>
        <sz val="11"/>
        <color theme="1"/>
        <rFont val="DejaVu Sans"/>
        <family val="2"/>
      </rPr>
      <t xml:space="preserve">業界誌・ライフスタイルメディアへ寄稿営業</t>
    </r>
    <r>
      <rPr>
        <sz val="11"/>
        <color theme="1"/>
        <rFont val="DejaVu Sans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件以上</t>
    </r>
  </si>
  <si>
    <t xml:space="preserve">責任者</t>
  </si>
  <si>
    <t xml:space="preserve">営業ログ</t>
  </si>
  <si>
    <r>
      <rPr>
        <sz val="11"/>
        <color theme="1"/>
        <rFont val="DejaVu Sans"/>
        <family val="2"/>
      </rPr>
      <t xml:space="preserve">月末</t>
    </r>
    <r>
      <rPr>
        <sz val="11"/>
        <color theme="1"/>
        <rFont val="DejaVu Sans"/>
        <family val="2"/>
        <charset val="1"/>
      </rPr>
      <t xml:space="preserve">(25-</t>
    </r>
    <r>
      <rPr>
        <sz val="11"/>
        <color theme="1"/>
        <rFont val="DejaVu Sans"/>
        <family val="2"/>
      </rPr>
      <t xml:space="preserve">末</t>
    </r>
    <r>
      <rPr>
        <sz val="11"/>
        <color theme="1"/>
        <rFont val="DejaVu Sans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</si>
  <si>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順位</t>
    </r>
    <r>
      <rPr>
        <sz val="11"/>
        <color theme="1"/>
        <rFont val="DejaVu Sans"/>
        <family val="2"/>
        <charset val="1"/>
      </rPr>
      <t xml:space="preserve">11-30</t>
    </r>
    <r>
      <rPr>
        <sz val="11"/>
        <color theme="1"/>
        <rFont val="DejaVu Sans"/>
        <family val="2"/>
      </rPr>
      <t xml:space="preserve">位記事のリライト対象選定と実施</t>
    </r>
  </si>
  <si>
    <t xml:space="preserve">リライト記事</t>
  </si>
  <si>
    <r>
      <rPr>
        <sz val="11"/>
        <color theme="1"/>
        <rFont val="Calibri"/>
        <family val="2"/>
        <charset val="1"/>
      </rPr>
      <t xml:space="preserve">X BAN</t>
    </r>
    <r>
      <rPr>
        <sz val="11"/>
        <color theme="1"/>
        <rFont val="DejaVu Sans"/>
        <family val="2"/>
      </rPr>
      <t xml:space="preserve">リスク点検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警告・センシティブ判定確認</t>
    </r>
    <r>
      <rPr>
        <sz val="11"/>
        <color theme="1"/>
        <rFont val="Calibri"/>
        <family val="2"/>
        <charset val="1"/>
      </rPr>
      <t xml:space="preserve">)</t>
    </r>
  </si>
  <si>
    <t xml:space="preserve">点検レポ</t>
  </si>
  <si>
    <t xml:space="preserve">ブランド</t>
  </si>
  <si>
    <t xml:space="preserve">キャンペーン企画の振り返りと次月企画立案</t>
  </si>
  <si>
    <t xml:space="preserve">四半期</t>
  </si>
  <si>
    <t xml:space="preserve">戦略</t>
  </si>
  <si>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DejaVu Sans"/>
        <family val="2"/>
      </rPr>
      <t xml:space="preserve">四半期レビュー・戦略修正</t>
    </r>
  </si>
  <si>
    <t xml:space="preserve">戦略改訂版</t>
  </si>
  <si>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DejaVu Sans"/>
        <family val="2"/>
      </rPr>
      <t xml:space="preserve">毎</t>
    </r>
  </si>
  <si>
    <t xml:space="preserve">KW</t>
  </si>
  <si>
    <t xml:space="preserve">エリア</t>
  </si>
  <si>
    <t xml:space="preserve">優先度</t>
  </si>
  <si>
    <r>
      <rPr>
        <b val="true"/>
        <sz val="11"/>
        <color rgb="FFFFFFFF"/>
        <rFont val="DejaVu Sans"/>
        <family val="2"/>
      </rPr>
      <t xml:space="preserve">月間検索</t>
    </r>
    <r>
      <rPr>
        <b val="true"/>
        <sz val="11"/>
        <color rgb="FFFFFFFF"/>
        <rFont val="DejaVu Sans"/>
        <family val="2"/>
        <charset val="1"/>
      </rPr>
      <t xml:space="preserve">Vol(</t>
    </r>
    <r>
      <rPr>
        <b val="true"/>
        <sz val="11"/>
        <color rgb="FFFFFFFF"/>
        <rFont val="DejaVu Sans"/>
        <family val="2"/>
      </rPr>
      <t xml:space="preserve">想定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</si>
  <si>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現順位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</si>
  <si>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ヶ月前</t>
    </r>
  </si>
  <si>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DejaVu Sans"/>
        <family val="2"/>
      </rPr>
      <t xml:space="preserve">ヶ月前</t>
    </r>
  </si>
  <si>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DejaVu Sans"/>
        <family val="2"/>
      </rPr>
      <t xml:space="preserve">ヶ月前</t>
    </r>
  </si>
  <si>
    <t xml:space="preserve">目標順位</t>
  </si>
  <si>
    <t xml:space="preserve">達成期限</t>
  </si>
  <si>
    <r>
      <rPr>
        <b val="true"/>
        <sz val="11"/>
        <color rgb="FFFFFFFF"/>
        <rFont val="DejaVu Sans"/>
        <family val="2"/>
      </rPr>
      <t xml:space="preserve">担当記事</t>
    </r>
    <r>
      <rPr>
        <b val="true"/>
        <sz val="11"/>
        <color rgb="FFFFFFFF"/>
        <rFont val="DejaVu Sans"/>
        <family val="2"/>
        <charset val="1"/>
      </rPr>
      <t xml:space="preserve">URL</t>
    </r>
  </si>
  <si>
    <t xml:space="preserve">ストロベリーボーイズ</t>
  </si>
  <si>
    <t xml:space="preserve">指名</t>
  </si>
  <si>
    <t xml:space="preserve">S</t>
  </si>
  <si>
    <t xml:space="preserve">維持</t>
  </si>
  <si>
    <t xml:space="preserve">通年</t>
  </si>
  <si>
    <t xml:space="preserve">ストロベリーボーイズ 横浜</t>
  </si>
  <si>
    <t xml:space="preserve">ストロベリーボーイズ 福岡</t>
  </si>
  <si>
    <t xml:space="preserve">女性用風俗 横浜</t>
  </si>
  <si>
    <t xml:space="preserve">横浜</t>
  </si>
  <si>
    <t xml:space="preserve">1,000-3,000</t>
  </si>
  <si>
    <t xml:space="preserve">2026-12-31</t>
  </si>
  <si>
    <t xml:space="preserve">女性用風俗 神奈川</t>
  </si>
  <si>
    <t xml:space="preserve">神奈川</t>
  </si>
  <si>
    <t xml:space="preserve">500-1,500</t>
  </si>
  <si>
    <t xml:space="preserve">女性用風俗 福岡</t>
  </si>
  <si>
    <t xml:space="preserve">福岡</t>
  </si>
  <si>
    <t xml:space="preserve">1,000-2,500</t>
  </si>
  <si>
    <t xml:space="preserve">女性用風俗 博多</t>
  </si>
  <si>
    <t xml:space="preserve">博多</t>
  </si>
  <si>
    <t xml:space="preserve">女風 横浜</t>
  </si>
  <si>
    <t xml:space="preserve">A</t>
  </si>
  <si>
    <t xml:space="preserve">500-1,200</t>
  </si>
  <si>
    <t xml:space="preserve">女風 福岡</t>
  </si>
  <si>
    <t xml:space="preserve">女性用風俗 おすすめ 横浜</t>
  </si>
  <si>
    <t xml:space="preserve">200-500</t>
  </si>
  <si>
    <t xml:space="preserve">2026-09-30</t>
  </si>
  <si>
    <t xml:space="preserve">女性用風俗 おすすめ 福岡</t>
  </si>
  <si>
    <t xml:space="preserve">女性用風俗 口コミ 横浜</t>
  </si>
  <si>
    <t xml:space="preserve">100-300</t>
  </si>
  <si>
    <t xml:space="preserve">女性用風俗 口コミ 福岡</t>
  </si>
  <si>
    <t xml:space="preserve">女性用風俗 初めて</t>
  </si>
  <si>
    <t xml:space="preserve">全国</t>
  </si>
  <si>
    <t xml:space="preserve">2,000-5,000</t>
  </si>
  <si>
    <t xml:space="preserve">女性用風俗 体験談</t>
  </si>
  <si>
    <t xml:space="preserve">女風</t>
  </si>
  <si>
    <t xml:space="preserve">ビッグ</t>
  </si>
  <si>
    <t xml:space="preserve">40,000+</t>
  </si>
  <si>
    <t xml:space="preserve">女性用風俗</t>
  </si>
  <si>
    <t xml:space="preserve">公式フォロワー</t>
  </si>
  <si>
    <t xml:space="preserve">純増</t>
  </si>
  <si>
    <r>
      <rPr>
        <b val="true"/>
        <sz val="11"/>
        <color rgb="FFFFFFFF"/>
        <rFont val="DejaVu Sans"/>
        <family val="2"/>
      </rPr>
      <t xml:space="preserve">公式</t>
    </r>
    <r>
      <rPr>
        <b val="true"/>
        <sz val="11"/>
        <color rgb="FFFFFFFF"/>
        <rFont val="DejaVu Sans"/>
        <family val="2"/>
        <charset val="1"/>
      </rPr>
      <t xml:space="preserve">Imp</t>
    </r>
  </si>
  <si>
    <r>
      <rPr>
        <b val="true"/>
        <sz val="11"/>
        <color rgb="FFFFFFFF"/>
        <rFont val="DejaVu Sans"/>
        <family val="2"/>
      </rPr>
      <t xml:space="preserve">公式</t>
    </r>
    <r>
      <rPr>
        <b val="true"/>
        <sz val="11"/>
        <color rgb="FFFFFFFF"/>
        <rFont val="DejaVu Sans"/>
        <family val="2"/>
        <charset val="1"/>
      </rPr>
      <t xml:space="preserve">ER(%)</t>
    </r>
  </si>
  <si>
    <t xml:space="preserve">サブフォロワー</t>
  </si>
  <si>
    <t xml:space="preserve">サブ純増</t>
  </si>
  <si>
    <t xml:space="preserve">メモ</t>
  </si>
  <si>
    <t xml:space="preserve">目標比率</t>
  </si>
  <si>
    <t xml:space="preserve">トーン</t>
  </si>
  <si>
    <t xml:space="preserve">投稿例</t>
  </si>
  <si>
    <r>
      <rPr>
        <b val="true"/>
        <sz val="11"/>
        <color rgb="FFFFFFFF"/>
        <rFont val="Arial"/>
        <family val="0"/>
        <charset val="1"/>
      </rPr>
      <t xml:space="preserve">NG</t>
    </r>
    <r>
      <rPr>
        <b val="true"/>
        <sz val="11"/>
        <color rgb="FFFFFFFF"/>
        <rFont val="DejaVu Sans"/>
        <family val="2"/>
      </rPr>
      <t xml:space="preserve">表現</t>
    </r>
  </si>
  <si>
    <t xml:space="preserve">目安頻度</t>
  </si>
  <si>
    <t xml:space="preserve">30%</t>
  </si>
  <si>
    <t xml:space="preserve">上品・優しい</t>
  </si>
  <si>
    <t xml:space="preserve">女性が自分を大切にする言葉、日常の気づき、名言</t>
  </si>
  <si>
    <r>
      <rPr>
        <sz val="11"/>
        <color theme="1"/>
        <rFont val="DejaVu Sans"/>
        <family val="2"/>
      </rPr>
      <t xml:space="preserve">性的直接語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露出画像</t>
    </r>
  </si>
  <si>
    <r>
      <rPr>
        <sz val="11"/>
        <color theme="1"/>
        <rFont val="DejaVu Sans"/>
        <family val="2"/>
      </rPr>
      <t xml:space="preserve">週</t>
    </r>
    <r>
      <rPr>
        <sz val="11"/>
        <color theme="1"/>
        <rFont val="DejaVu Sans"/>
        <family val="2"/>
        <charset val="1"/>
      </rPr>
      <t xml:space="preserve">8-10</t>
    </r>
    <r>
      <rPr>
        <sz val="11"/>
        <color theme="1"/>
        <rFont val="DejaVu Sans"/>
        <family val="2"/>
      </rPr>
      <t xml:space="preserve">本</t>
    </r>
  </si>
  <si>
    <t xml:space="preserve">25%</t>
  </si>
  <si>
    <t xml:space="preserve">温かみ・親しみ</t>
  </si>
  <si>
    <t xml:space="preserve">新人紹介、セラピスト日常、裏側ショート動画</t>
  </si>
  <si>
    <r>
      <rPr>
        <sz val="11"/>
        <color theme="1"/>
        <rFont val="DejaVu Sans"/>
        <family val="2"/>
      </rPr>
      <t xml:space="preserve">過度な煽り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露出</t>
    </r>
  </si>
  <si>
    <r>
      <rPr>
        <sz val="11"/>
        <color theme="1"/>
        <rFont val="DejaVu Sans"/>
        <family val="2"/>
      </rPr>
      <t xml:space="preserve">週</t>
    </r>
    <r>
      <rPr>
        <sz val="11"/>
        <color theme="1"/>
        <rFont val="DejaVu Sans"/>
        <family val="2"/>
        <charset val="1"/>
      </rPr>
      <t xml:space="preserve">7-8</t>
    </r>
    <r>
      <rPr>
        <sz val="11"/>
        <color theme="1"/>
        <rFont val="DejaVu Sans"/>
        <family val="2"/>
      </rPr>
      <t xml:space="preserve">本</t>
    </r>
  </si>
  <si>
    <t xml:space="preserve">20%</t>
  </si>
  <si>
    <t xml:space="preserve">落ち着き・信頼</t>
  </si>
  <si>
    <r>
      <rPr>
        <sz val="11"/>
        <color theme="1"/>
        <rFont val="DejaVu Sans"/>
        <family val="2"/>
      </rPr>
      <t xml:space="preserve">選び方</t>
    </r>
    <r>
      <rPr>
        <sz val="11"/>
        <color theme="1"/>
        <rFont val="DejaVu Sans"/>
        <family val="2"/>
        <charset val="1"/>
      </rPr>
      <t xml:space="preserve">Q&amp;A</t>
    </r>
    <r>
      <rPr>
        <sz val="11"/>
        <color theme="1"/>
        <rFont val="DejaVu Sans"/>
        <family val="2"/>
      </rPr>
      <t xml:space="preserve">、初めての方向けガイド、記事誘導</t>
    </r>
  </si>
  <si>
    <t xml:space="preserve">医療断定表現</t>
  </si>
  <si>
    <r>
      <rPr>
        <sz val="11"/>
        <color theme="1"/>
        <rFont val="DejaVu Sans"/>
        <family val="2"/>
      </rPr>
      <t xml:space="preserve">週</t>
    </r>
    <r>
      <rPr>
        <sz val="11"/>
        <color theme="1"/>
        <rFont val="DejaVu Sans"/>
        <family val="2"/>
        <charset val="1"/>
      </rPr>
      <t xml:space="preserve">5-6</t>
    </r>
    <r>
      <rPr>
        <sz val="11"/>
        <color theme="1"/>
        <rFont val="DejaVu Sans"/>
        <family val="2"/>
      </rPr>
      <t xml:space="preserve">本</t>
    </r>
  </si>
  <si>
    <t xml:space="preserve">15%</t>
  </si>
  <si>
    <t xml:space="preserve">特別感</t>
  </si>
  <si>
    <t xml:space="preserve">割引告知、プレゼント、相互企画</t>
  </si>
  <si>
    <r>
      <rPr>
        <sz val="11"/>
        <color theme="1"/>
        <rFont val="DejaVu Sans"/>
        <family val="2"/>
      </rPr>
      <t xml:space="preserve">金額直接</t>
    </r>
    <r>
      <rPr>
        <sz val="11"/>
        <color theme="1"/>
        <rFont val="DejaVu Sans"/>
        <family val="2"/>
        <charset val="1"/>
      </rPr>
      <t xml:space="preserve">/URL</t>
    </r>
    <r>
      <rPr>
        <sz val="11"/>
        <color theme="1"/>
        <rFont val="DejaVu Sans"/>
        <family val="2"/>
      </rPr>
      <t xml:space="preserve">連投</t>
    </r>
  </si>
  <si>
    <r>
      <rPr>
        <sz val="11"/>
        <color theme="1"/>
        <rFont val="DejaVu Sans"/>
        <family val="2"/>
      </rPr>
      <t xml:space="preserve">週</t>
    </r>
    <r>
      <rPr>
        <sz val="11"/>
        <color theme="1"/>
        <rFont val="DejaVu Sans"/>
        <family val="2"/>
        <charset val="1"/>
      </rPr>
      <t xml:space="preserve">4-5</t>
    </r>
    <r>
      <rPr>
        <sz val="11"/>
        <color theme="1"/>
        <rFont val="DejaVu Sans"/>
        <family val="2"/>
      </rPr>
      <t xml:space="preserve">本</t>
    </r>
  </si>
  <si>
    <t xml:space="preserve">10%</t>
  </si>
  <si>
    <t xml:space="preserve">親しみ・双方向</t>
  </si>
  <si>
    <t xml:space="preserve">質問箱、アンケート、リプ引用</t>
  </si>
  <si>
    <t xml:space="preserve">煽り・挑発</t>
  </si>
  <si>
    <r>
      <rPr>
        <sz val="11"/>
        <color theme="1"/>
        <rFont val="DejaVu Sans"/>
        <family val="2"/>
      </rPr>
      <t xml:space="preserve">週</t>
    </r>
    <r>
      <rPr>
        <sz val="11"/>
        <color theme="1"/>
        <rFont val="DejaVu Sans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本</t>
    </r>
  </si>
  <si>
    <r>
      <rPr>
        <b val="true"/>
        <sz val="14"/>
        <color rgb="FFE91E63"/>
        <rFont val="Arial"/>
        <family val="0"/>
        <charset val="1"/>
      </rPr>
      <t xml:space="preserve">■ X BAN</t>
    </r>
    <r>
      <rPr>
        <b val="true"/>
        <sz val="14"/>
        <color rgb="FFE91E63"/>
        <rFont val="DejaVu Sans"/>
        <family val="2"/>
      </rPr>
      <t xml:space="preserve">リスク管理・禁止ワードリスト</t>
    </r>
  </si>
  <si>
    <t xml:space="preserve">種別</t>
  </si>
  <si>
    <r>
      <rPr>
        <b val="true"/>
        <sz val="11"/>
        <color rgb="FFFFFFFF"/>
        <rFont val="Arial"/>
        <family val="0"/>
        <charset val="1"/>
      </rPr>
      <t xml:space="preserve">NG</t>
    </r>
    <r>
      <rPr>
        <b val="true"/>
        <sz val="11"/>
        <color rgb="FFFFFFFF"/>
        <rFont val="DejaVu Sans"/>
        <family val="2"/>
      </rPr>
      <t xml:space="preserve">ワード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表現</t>
    </r>
  </si>
  <si>
    <t xml:space="preserve">代替表現</t>
  </si>
  <si>
    <t xml:space="preserve">リスクレベル</t>
  </si>
  <si>
    <t xml:space="preserve">直接語</t>
  </si>
  <si>
    <r>
      <rPr>
        <sz val="11"/>
        <color theme="1"/>
        <rFont val="DejaVu Sans"/>
        <family val="2"/>
      </rPr>
      <t xml:space="preserve">セックス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性行為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挿入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射精</t>
    </r>
  </si>
  <si>
    <r>
      <rPr>
        <sz val="11"/>
        <color theme="1"/>
        <rFont val="DejaVu Sans"/>
        <family val="2"/>
      </rPr>
      <t xml:space="preserve">癒やしの時間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特別な体験</t>
    </r>
  </si>
  <si>
    <t xml:space="preserve">高</t>
  </si>
  <si>
    <r>
      <rPr>
        <sz val="11"/>
        <color theme="1"/>
        <rFont val="DejaVu Sans"/>
        <family val="2"/>
      </rPr>
      <t xml:space="preserve">アダルト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エロ</t>
    </r>
  </si>
  <si>
    <r>
      <rPr>
        <sz val="11"/>
        <color theme="1"/>
        <rFont val="DejaVu Sans"/>
        <family val="2"/>
      </rPr>
      <t xml:space="preserve">女性の癒やし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大人の時間</t>
    </r>
  </si>
  <si>
    <t xml:space="preserve">断定</t>
  </si>
  <si>
    <r>
      <rPr>
        <sz val="11"/>
        <color theme="1"/>
        <rFont val="DejaVu Sans"/>
        <family val="2"/>
      </rPr>
      <t xml:space="preserve">絶対安全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必ず満足</t>
    </r>
    <r>
      <rPr>
        <sz val="11"/>
        <color theme="1"/>
        <rFont val="DejaVu Sans"/>
        <family val="2"/>
        <charset val="1"/>
      </rPr>
      <t xml:space="preserve">/100%</t>
    </r>
  </si>
  <si>
    <r>
      <rPr>
        <sz val="11"/>
        <color theme="1"/>
        <rFont val="DejaVu Sans"/>
        <family val="2"/>
      </rPr>
      <t xml:space="preserve">多くのお客様にご好評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丁寧に</t>
    </r>
  </si>
  <si>
    <t xml:space="preserve">中</t>
  </si>
  <si>
    <t xml:space="preserve">医療</t>
  </si>
  <si>
    <r>
      <rPr>
        <sz val="11"/>
        <color theme="1"/>
        <rFont val="DejaVu Sans"/>
        <family val="2"/>
      </rPr>
      <t xml:space="preserve">治る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効く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改善する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治療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</si>
  <si>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使用しない</t>
    </r>
    <r>
      <rPr>
        <sz val="11"/>
        <color theme="1"/>
        <rFont val="Calibri"/>
        <family val="2"/>
        <charset val="1"/>
      </rPr>
      <t xml:space="preserve">)</t>
    </r>
  </si>
  <si>
    <t xml:space="preserve">金銭</t>
  </si>
  <si>
    <t xml:space="preserve">本文に料金総額直記</t>
  </si>
  <si>
    <r>
      <rPr>
        <sz val="11"/>
        <color theme="1"/>
        <rFont val="DejaVu Sans"/>
        <family val="2"/>
      </rPr>
      <t xml:space="preserve">サイトでご案内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プロフィール参照</t>
    </r>
  </si>
  <si>
    <t xml:space="preserve">URL</t>
  </si>
  <si>
    <r>
      <rPr>
        <sz val="11"/>
        <color theme="1"/>
        <rFont val="DejaVu Sans"/>
        <family val="2"/>
      </rPr>
      <t xml:space="preserve">短縮</t>
    </r>
    <r>
      <rPr>
        <sz val="11"/>
        <color theme="1"/>
        <rFont val="DejaVu Sans"/>
        <family val="2"/>
        <charset val="1"/>
      </rPr>
      <t xml:space="preserve">URL</t>
    </r>
    <r>
      <rPr>
        <sz val="11"/>
        <color theme="1"/>
        <rFont val="DejaVu Sans"/>
        <family val="2"/>
      </rPr>
      <t xml:space="preserve">連投・本文複数</t>
    </r>
    <r>
      <rPr>
        <sz val="11"/>
        <color theme="1"/>
        <rFont val="DejaVu Sans"/>
        <family val="2"/>
        <charset val="1"/>
      </rPr>
      <t xml:space="preserve">URL</t>
    </r>
  </si>
  <si>
    <r>
      <rPr>
        <sz val="11"/>
        <color theme="1"/>
        <rFont val="DejaVu Sans"/>
        <family val="2"/>
      </rPr>
      <t xml:space="preserve">投稿末尾に</t>
    </r>
    <r>
      <rPr>
        <sz val="11"/>
        <color theme="1"/>
        <rFont val="DejaVu Sans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本のみ</t>
    </r>
  </si>
  <si>
    <t xml:space="preserve">画像</t>
  </si>
  <si>
    <r>
      <rPr>
        <sz val="11"/>
        <color theme="1"/>
        <rFont val="DejaVu Sans"/>
        <family val="2"/>
      </rPr>
      <t xml:space="preserve">肌面積</t>
    </r>
    <r>
      <rPr>
        <sz val="11"/>
        <color theme="1"/>
        <rFont val="DejaVu Sans"/>
        <family val="2"/>
        <charset val="1"/>
      </rPr>
      <t xml:space="preserve">30%</t>
    </r>
    <r>
      <rPr>
        <sz val="11"/>
        <color theme="1"/>
        <rFont val="DejaVu Sans"/>
        <family val="2"/>
      </rPr>
      <t xml:space="preserve">超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下着直視</t>
    </r>
  </si>
  <si>
    <r>
      <rPr>
        <sz val="11"/>
        <color theme="1"/>
        <rFont val="DejaVu Sans"/>
        <family val="2"/>
      </rPr>
      <t xml:space="preserve">シルエット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上品な構図</t>
    </r>
  </si>
  <si>
    <t xml:space="preserve">連絡先</t>
  </si>
  <si>
    <r>
      <rPr>
        <sz val="11"/>
        <color theme="1"/>
        <rFont val="Calibri"/>
        <family val="2"/>
        <charset val="1"/>
      </rPr>
      <t xml:space="preserve">TEL/LINE ID</t>
    </r>
    <r>
      <rPr>
        <sz val="11"/>
        <color theme="1"/>
        <rFont val="DejaVu Sans"/>
        <family val="2"/>
      </rPr>
      <t xml:space="preserve">直記載</t>
    </r>
  </si>
  <si>
    <t xml:space="preserve">サイトの予約フォーム誘導</t>
  </si>
  <si>
    <t xml:space="preserve">行動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</si>
  <si>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日フォロー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DejaVu Sans"/>
        <family val="2"/>
      </rPr>
      <t xml:space="preserve">超</t>
    </r>
    <r>
      <rPr>
        <sz val="11"/>
        <color theme="1"/>
        <rFont val="Calibri"/>
        <family val="2"/>
        <charset val="1"/>
      </rPr>
      <t xml:space="preserve">/DM</t>
    </r>
    <r>
      <rPr>
        <sz val="11"/>
        <color theme="1"/>
        <rFont val="DejaVu Sans"/>
        <family val="2"/>
      </rPr>
      <t xml:space="preserve">連投</t>
    </r>
  </si>
  <si>
    <r>
      <rPr>
        <sz val="11"/>
        <color theme="1"/>
        <rFont val="DejaVu Sans"/>
        <family val="2"/>
      </rPr>
      <t xml:space="preserve">オーガニック中心・</t>
    </r>
    <r>
      <rPr>
        <sz val="11"/>
        <color theme="1"/>
        <rFont val="DejaVu Sans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日</t>
    </r>
    <r>
      <rPr>
        <sz val="11"/>
        <color theme="1"/>
        <rFont val="DejaVu Sans"/>
        <family val="2"/>
        <charset val="1"/>
      </rPr>
      <t xml:space="preserve">20</t>
    </r>
    <r>
      <rPr>
        <sz val="11"/>
        <color theme="1"/>
        <rFont val="DejaVu Sans"/>
        <family val="2"/>
      </rPr>
      <t xml:space="preserve">以内</t>
    </r>
  </si>
  <si>
    <t xml:space="preserve">■ 緊急時対応プレイブック</t>
  </si>
  <si>
    <t xml:space="preserve">ケース</t>
  </si>
  <si>
    <r>
      <rPr>
        <b val="true"/>
        <sz val="11"/>
        <color rgb="FFFFFFFF"/>
        <rFont val="DejaVu Sans"/>
        <family val="2"/>
      </rPr>
      <t xml:space="preserve">即時アクション</t>
    </r>
    <r>
      <rPr>
        <b val="true"/>
        <sz val="11"/>
        <color rgb="FFFFFFFF"/>
        <rFont val="DejaVu Sans"/>
        <family val="2"/>
        <charset val="1"/>
      </rPr>
      <t xml:space="preserve">(24h</t>
    </r>
    <r>
      <rPr>
        <b val="true"/>
        <sz val="11"/>
        <color rgb="FFFFFFFF"/>
        <rFont val="DejaVu Sans"/>
        <family val="2"/>
      </rPr>
      <t xml:space="preserve">以内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</si>
  <si>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完了チェック</t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</si>
  <si>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DejaVu Sans"/>
        <family val="2"/>
      </rPr>
      <t xml:space="preserve">公式垢</t>
    </r>
    <r>
      <rPr>
        <sz val="11"/>
        <color theme="1"/>
        <rFont val="Calibri"/>
        <family val="2"/>
        <charset val="1"/>
      </rPr>
      <t xml:space="preserve">BAN</t>
    </r>
  </si>
  <si>
    <r>
      <rPr>
        <sz val="11"/>
        <color theme="1"/>
        <rFont val="DejaVu Sans"/>
        <family val="2"/>
      </rPr>
      <t xml:space="preserve">サブ垢から告知→サイト</t>
    </r>
    <r>
      <rPr>
        <sz val="11"/>
        <color theme="1"/>
        <rFont val="DejaVu Sans"/>
        <family val="2"/>
        <charset val="1"/>
      </rPr>
      <t xml:space="preserve">LP</t>
    </r>
    <r>
      <rPr>
        <sz val="11"/>
        <color theme="1"/>
        <rFont val="DejaVu Sans"/>
        <family val="2"/>
      </rPr>
      <t xml:space="preserve">リンク差替→異議申立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英文</t>
    </r>
    <r>
      <rPr>
        <sz val="11"/>
        <color theme="1"/>
        <rFont val="DejaVu Sans"/>
        <family val="2"/>
        <charset val="1"/>
      </rPr>
      <t xml:space="preserve">)→</t>
    </r>
    <r>
      <rPr>
        <sz val="11"/>
        <color theme="1"/>
        <rFont val="DejaVu Sans"/>
        <family val="2"/>
      </rPr>
      <t xml:space="preserve">解除不可ならサブ垢昇格</t>
    </r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</si>
  <si>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DejaVu Sans"/>
        <family val="2"/>
      </rPr>
      <t xml:space="preserve">オペ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責任者</t>
    </r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</si>
  <si>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DejaVu Sans"/>
        <family val="2"/>
      </rPr>
      <t xml:space="preserve">公式垢シャドバン</t>
    </r>
  </si>
  <si>
    <r>
      <rPr>
        <sz val="11"/>
        <color theme="1"/>
        <rFont val="DejaVu Sans"/>
        <family val="2"/>
      </rPr>
      <t xml:space="preserve">直近</t>
    </r>
    <r>
      <rPr>
        <sz val="11"/>
        <color theme="1"/>
        <rFont val="DejaVu Sans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日の投稿見直し・禁止ワード点検・</t>
    </r>
    <r>
      <rPr>
        <sz val="11"/>
        <color theme="1"/>
        <rFont val="DejaVu Sans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日投稿数を</t>
    </r>
    <r>
      <rPr>
        <sz val="11"/>
        <color theme="1"/>
        <rFont val="DejaVu Sans"/>
        <family val="2"/>
        <charset val="1"/>
      </rPr>
      <t xml:space="preserve">1-2</t>
    </r>
    <r>
      <rPr>
        <sz val="11"/>
        <color theme="1"/>
        <rFont val="DejaVu Sans"/>
        <family val="2"/>
      </rPr>
      <t xml:space="preserve">本に抑制</t>
    </r>
  </si>
  <si>
    <r>
      <rPr>
        <sz val="11"/>
        <color theme="1"/>
        <rFont val="Calibri"/>
        <family val="2"/>
        <charset val="1"/>
      </rPr>
      <t xml:space="preserve">SEO</t>
    </r>
    <r>
      <rPr>
        <sz val="11"/>
        <color theme="1"/>
        <rFont val="DejaVu Sans"/>
        <family val="2"/>
      </rPr>
      <t xml:space="preserve">順位急落</t>
    </r>
  </si>
  <si>
    <r>
      <rPr>
        <sz val="11"/>
        <color theme="1"/>
        <rFont val="Calibri"/>
        <family val="2"/>
        <charset val="1"/>
      </rPr>
      <t xml:space="preserve">Search Console</t>
    </r>
    <r>
      <rPr>
        <sz val="11"/>
        <color theme="1"/>
        <rFont val="DejaVu Sans"/>
        <family val="2"/>
      </rPr>
      <t xml:space="preserve">手動対策確認→直近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週間の変更確認→コアアップデート有無確認→</t>
    </r>
    <r>
      <rPr>
        <sz val="11"/>
        <color theme="1"/>
        <rFont val="Calibri"/>
        <family val="2"/>
        <charset val="1"/>
      </rPr>
      <t xml:space="preserve">72h</t>
    </r>
    <r>
      <rPr>
        <sz val="11"/>
        <color theme="1"/>
        <rFont val="DejaVu Sans"/>
        <family val="2"/>
      </rPr>
      <t xml:space="preserve">以内改善</t>
    </r>
  </si>
  <si>
    <t xml:space="preserve">キャスト不祥事報道</t>
  </si>
  <si>
    <t xml:space="preserve">広報対応プロトコル起動・該当キャスト投稿停止・公式コメント準備</t>
  </si>
  <si>
    <t xml:space="preserve">サイトダウン</t>
  </si>
  <si>
    <t xml:space="preserve">ホスティング状況確認・バックアップから復旧・ステータス告知</t>
  </si>
  <si>
    <t xml:space="preserve">技術担当</t>
  </si>
  <si>
    <t xml:space="preserve">公開予定日</t>
  </si>
  <si>
    <t xml:space="preserve">タイプ</t>
  </si>
  <si>
    <r>
      <rPr>
        <b val="true"/>
        <sz val="11"/>
        <color rgb="FFFFFFFF"/>
        <rFont val="DejaVu Sans"/>
        <family val="2"/>
      </rPr>
      <t xml:space="preserve">ターゲット</t>
    </r>
    <r>
      <rPr>
        <b val="true"/>
        <sz val="11"/>
        <color rgb="FFFFFFFF"/>
        <rFont val="DejaVu Sans"/>
        <family val="2"/>
        <charset val="1"/>
      </rPr>
      <t xml:space="preserve">KW</t>
    </r>
  </si>
  <si>
    <t xml:space="preserve">タイトル案</t>
  </si>
  <si>
    <t xml:space="preserve">ステータス</t>
  </si>
  <si>
    <r>
      <rPr>
        <b val="true"/>
        <sz val="11"/>
        <color rgb="FFFFFFFF"/>
        <rFont val="DejaVu Sans"/>
        <family val="2"/>
      </rPr>
      <t xml:space="preserve">公開</t>
    </r>
    <r>
      <rPr>
        <b val="true"/>
        <sz val="11"/>
        <color rgb="FFFFFFFF"/>
        <rFont val="DejaVu Sans"/>
        <family val="2"/>
        <charset val="1"/>
      </rPr>
      <t xml:space="preserve">URL</t>
    </r>
  </si>
  <si>
    <t xml:space="preserve">文字数</t>
  </si>
  <si>
    <r>
      <rPr>
        <sz val="11"/>
        <color theme="1"/>
        <rFont val="DejaVu Sans"/>
        <family val="2"/>
      </rPr>
      <t xml:space="preserve">エリア</t>
    </r>
    <r>
      <rPr>
        <sz val="11"/>
        <color theme="1"/>
        <rFont val="DejaVu Sans"/>
        <family val="2"/>
        <charset val="1"/>
      </rPr>
      <t xml:space="preserve">LP</t>
    </r>
  </si>
  <si>
    <r>
      <rPr>
        <sz val="11"/>
        <color theme="1"/>
        <rFont val="DejaVu Sans"/>
        <family val="2"/>
      </rPr>
      <t xml:space="preserve">【</t>
    </r>
    <r>
      <rPr>
        <sz val="11"/>
        <color theme="1"/>
        <rFont val="DejaVu Sans"/>
        <family val="2"/>
        <charset val="1"/>
      </rPr>
      <t xml:space="preserve">2026</t>
    </r>
    <r>
      <rPr>
        <sz val="11"/>
        <color theme="1"/>
        <rFont val="DejaVu Sans"/>
        <family val="2"/>
      </rPr>
      <t xml:space="preserve">最新】横浜エリアで選ばれる女性用風俗完全ガイド</t>
    </r>
  </si>
  <si>
    <t xml:space="preserve">執筆中</t>
  </si>
  <si>
    <t xml:space="preserve">主力コンテンツ</t>
  </si>
  <si>
    <t xml:space="preserve">福岡・博多で体験できる女性用風俗の魅力と選び方</t>
  </si>
  <si>
    <t xml:space="preserve">ガイド</t>
  </si>
  <si>
    <t xml:space="preserve">初めての女性用風俗｜失敗しない選び方と心構え</t>
  </si>
  <si>
    <t xml:space="preserve">Q&amp;A</t>
  </si>
  <si>
    <t xml:space="preserve">女性用風俗 口コミ</t>
  </si>
  <si>
    <r>
      <rPr>
        <sz val="11"/>
        <color theme="1"/>
        <rFont val="DejaVu Sans"/>
        <family val="2"/>
      </rPr>
      <t xml:space="preserve">女性用風俗</t>
    </r>
    <r>
      <rPr>
        <sz val="11"/>
        <color theme="1"/>
        <rFont val="DejaVu Sans"/>
        <family val="2"/>
        <charset val="1"/>
      </rPr>
      <t xml:space="preserve">Q&amp;A 50</t>
    </r>
    <r>
      <rPr>
        <sz val="11"/>
        <color theme="1"/>
        <rFont val="DejaVu Sans"/>
        <family val="2"/>
      </rPr>
      <t xml:space="preserve">選｜みんなが気になる疑問に回答</t>
    </r>
  </si>
  <si>
    <r>
      <rPr>
        <sz val="11"/>
        <color theme="1"/>
        <rFont val="Calibri"/>
        <family val="2"/>
        <charset val="1"/>
      </rPr>
      <t xml:space="preserve">FAQ</t>
    </r>
    <r>
      <rPr>
        <sz val="11"/>
        <color theme="1"/>
        <rFont val="DejaVu Sans"/>
        <family val="2"/>
      </rPr>
      <t xml:space="preserve">スキーマ</t>
    </r>
  </si>
  <si>
    <t xml:space="preserve">キャスト</t>
  </si>
  <si>
    <t xml:space="preserve">【キャスト紹介】横浜在籍セラピスト◯◯さんの想い</t>
  </si>
  <si>
    <t xml:space="preserve">指名拡張</t>
  </si>
  <si>
    <r>
      <rPr>
        <b val="true"/>
        <sz val="14"/>
        <color rgb="FFE91E63"/>
        <rFont val="DejaVu Sans"/>
        <family val="2"/>
      </rPr>
      <t xml:space="preserve">■ 競合バズ投稿ライブラリ（</t>
    </r>
    <r>
      <rPr>
        <b val="true"/>
        <sz val="14"/>
        <color rgb="FFE91E63"/>
        <rFont val="Arial"/>
        <family val="0"/>
        <charset val="1"/>
      </rPr>
      <t xml:space="preserve">Grok</t>
    </r>
    <r>
      <rPr>
        <b val="true"/>
        <sz val="14"/>
        <color rgb="FFE91E63"/>
        <rFont val="DejaVu Sans"/>
        <family val="2"/>
      </rPr>
      <t xml:space="preserve">で収集 → 投稿改善に活用）</t>
    </r>
  </si>
  <si>
    <r>
      <rPr>
        <sz val="9"/>
        <color rgb="FF666666"/>
        <rFont val="DejaVu Sans"/>
        <family val="2"/>
      </rPr>
      <t xml:space="preserve">使い方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DejaVu Sans"/>
        <family val="2"/>
      </rPr>
      <t xml:space="preserve">週</t>
    </r>
    <r>
      <rPr>
        <sz val="9"/>
        <color rgb="FF666666"/>
        <rFont val="Arial"/>
        <family val="0"/>
        <charset val="1"/>
      </rPr>
      <t xml:space="preserve">2</t>
    </r>
    <r>
      <rPr>
        <sz val="9"/>
        <color rgb="FF666666"/>
        <rFont val="DejaVu Sans"/>
        <family val="2"/>
      </rPr>
      <t xml:space="preserve">回、</t>
    </r>
    <r>
      <rPr>
        <sz val="9"/>
        <color rgb="FF666666"/>
        <rFont val="Arial"/>
        <family val="0"/>
        <charset val="1"/>
      </rPr>
      <t xml:space="preserve">Grok</t>
    </r>
    <r>
      <rPr>
        <sz val="9"/>
        <color rgb="FF666666"/>
        <rFont val="DejaVu Sans"/>
        <family val="2"/>
      </rPr>
      <t xml:space="preserve">に『女性用風俗 </t>
    </r>
    <r>
      <rPr>
        <sz val="9"/>
        <color rgb="FF666666"/>
        <rFont val="Arial"/>
        <family val="0"/>
        <charset val="1"/>
      </rPr>
      <t xml:space="preserve">OR </t>
    </r>
    <r>
      <rPr>
        <sz val="9"/>
        <color rgb="FF666666"/>
        <rFont val="DejaVu Sans"/>
        <family val="2"/>
      </rPr>
      <t xml:space="preserve">女風 </t>
    </r>
    <r>
      <rPr>
        <sz val="9"/>
        <color rgb="FF666666"/>
        <rFont val="Arial"/>
        <family val="0"/>
        <charset val="1"/>
      </rPr>
      <t xml:space="preserve">OR </t>
    </r>
    <r>
      <rPr>
        <sz val="9"/>
        <color rgb="FF666666"/>
        <rFont val="DejaVu Sans"/>
        <family val="2"/>
      </rPr>
      <t xml:space="preserve">レズ風俗 で直近</t>
    </r>
    <r>
      <rPr>
        <sz val="9"/>
        <color rgb="FF666666"/>
        <rFont val="Arial"/>
        <family val="0"/>
        <charset val="1"/>
      </rPr>
      <t xml:space="preserve">7</t>
    </r>
    <r>
      <rPr>
        <sz val="9"/>
        <color rgb="FF666666"/>
        <rFont val="DejaVu Sans"/>
        <family val="2"/>
      </rPr>
      <t xml:space="preserve">日にバズった</t>
    </r>
    <r>
      <rPr>
        <sz val="9"/>
        <color rgb="FF666666"/>
        <rFont val="Arial"/>
        <family val="0"/>
        <charset val="1"/>
      </rPr>
      <t xml:space="preserve">X</t>
    </r>
    <r>
      <rPr>
        <sz val="9"/>
        <color rgb="FF666666"/>
        <rFont val="DejaVu Sans"/>
        <family val="2"/>
      </rPr>
      <t xml:space="preserve">投稿を</t>
    </r>
    <r>
      <rPr>
        <sz val="9"/>
        <color rgb="FF666666"/>
        <rFont val="Arial"/>
        <family val="0"/>
        <charset val="1"/>
      </rPr>
      <t xml:space="preserve">10</t>
    </r>
    <r>
      <rPr>
        <sz val="9"/>
        <color rgb="FF666666"/>
        <rFont val="DejaVu Sans"/>
        <family val="2"/>
      </rPr>
      <t xml:space="preserve">件教えて』と聞き、結果をここに貼る</t>
    </r>
  </si>
  <si>
    <t xml:space="preserve">収集日</t>
  </si>
  <si>
    <t xml:space="preserve">競合アカウント</t>
  </si>
  <si>
    <r>
      <rPr>
        <b val="true"/>
        <sz val="11"/>
        <color rgb="FFFFFFFF"/>
        <rFont val="DejaVu Sans"/>
        <family val="2"/>
      </rPr>
      <t xml:space="preserve">投稿テキスト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要約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</si>
  <si>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Imp(</t>
    </r>
    <r>
      <rPr>
        <b val="true"/>
        <sz val="11"/>
        <color rgb="FFFFFFFF"/>
        <rFont val="DejaVu Sans"/>
        <family val="2"/>
      </rPr>
      <t xml:space="preserve">概算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</si>
  <si>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バズ要因分析</t>
  </si>
  <si>
    <t xml:space="preserve">自店に活かせるポイント</t>
  </si>
  <si>
    <t xml:space="preserve">活用済み</t>
  </si>
  <si>
    <t xml:space="preserve">@xxx_lady</t>
  </si>
  <si>
    <r>
      <rPr>
        <sz val="10"/>
        <rFont val="DejaVu Sans"/>
        <family val="2"/>
      </rPr>
      <t xml:space="preserve">初めての女風、正直ドキドキしたけど…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体験談形式</t>
    </r>
    <r>
      <rPr>
        <sz val="10"/>
        <rFont val="Arial"/>
        <family val="0"/>
        <charset val="1"/>
      </rPr>
      <t xml:space="preserve">)</t>
    </r>
  </si>
  <si>
    <t xml:space="preserve">50,000</t>
  </si>
  <si>
    <t xml:space="preserve">320</t>
  </si>
  <si>
    <t xml:space="preserve">85</t>
  </si>
  <si>
    <r>
      <rPr>
        <sz val="10"/>
        <rFont val="DejaVu Sans"/>
        <family val="2"/>
      </rPr>
      <t xml:space="preserve">体験談の生々しさ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共感導入</t>
    </r>
  </si>
  <si>
    <r>
      <rPr>
        <sz val="10"/>
        <rFont val="DejaVu Sans"/>
        <family val="2"/>
      </rPr>
      <t xml:space="preserve">体験談形式の投稿を月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回導入</t>
    </r>
  </si>
  <si>
    <t xml:space="preserve">@yyy_relax</t>
  </si>
  <si>
    <r>
      <rPr>
        <sz val="10"/>
        <rFont val="DejaVu Sans"/>
        <family val="2"/>
      </rPr>
      <t xml:space="preserve">「癒されたい」って言葉、本当は…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名言リライト系</t>
    </r>
    <r>
      <rPr>
        <sz val="10"/>
        <rFont val="Arial"/>
        <family val="0"/>
        <charset val="1"/>
      </rPr>
      <t xml:space="preserve">)</t>
    </r>
  </si>
  <si>
    <t xml:space="preserve">35,000</t>
  </si>
  <si>
    <t xml:space="preserve">210</t>
  </si>
  <si>
    <t xml:space="preserve">40</t>
  </si>
  <si>
    <r>
      <rPr>
        <sz val="10"/>
        <rFont val="DejaVu Sans"/>
        <family val="2"/>
      </rPr>
      <t xml:space="preserve">共感</t>
    </r>
    <r>
      <rPr>
        <sz val="10"/>
        <rFont val="Arial"/>
        <family val="0"/>
        <charset val="1"/>
      </rPr>
      <t xml:space="preserve">×</t>
    </r>
    <r>
      <rPr>
        <sz val="10"/>
        <rFont val="DejaVu Sans"/>
        <family val="2"/>
      </rPr>
      <t xml:space="preserve">名言の組み合わせ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深夜投稿</t>
    </r>
  </si>
  <si>
    <r>
      <rPr>
        <sz val="10"/>
        <rFont val="Arial"/>
        <family val="0"/>
        <charset val="1"/>
      </rPr>
      <t xml:space="preserve">23</t>
    </r>
    <r>
      <rPr>
        <sz val="10"/>
        <rFont val="DejaVu Sans"/>
        <family val="2"/>
      </rPr>
      <t xml:space="preserve">時台に共感名言系を配置</t>
    </r>
  </si>
  <si>
    <t xml:space="preserve">@zzz_care</t>
  </si>
  <si>
    <r>
      <rPr>
        <sz val="10"/>
        <rFont val="DejaVu Sans"/>
        <family val="2"/>
      </rPr>
      <t xml:space="preserve">アンケート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女風に興味ある方、きっかけは？</t>
    </r>
  </si>
  <si>
    <t xml:space="preserve">28,000</t>
  </si>
  <si>
    <t xml:space="preserve">150</t>
  </si>
  <si>
    <t xml:space="preserve">20</t>
  </si>
  <si>
    <t xml:space="preserve">質問形式でリプ誘導→アルゴ優遇</t>
  </si>
  <si>
    <r>
      <rPr>
        <sz val="10"/>
        <rFont val="DejaVu Sans"/>
        <family val="2"/>
      </rPr>
      <t xml:space="preserve">週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のアンケート投稿を必須化</t>
    </r>
  </si>
  <si>
    <r>
      <rPr>
        <b val="true"/>
        <sz val="12"/>
        <color rgb="FFE91E63"/>
        <rFont val="Arial"/>
        <family val="0"/>
        <charset val="1"/>
      </rPr>
      <t xml:space="preserve">■ Grok</t>
    </r>
    <r>
      <rPr>
        <b val="true"/>
        <sz val="12"/>
        <color rgb="FFE91E63"/>
        <rFont val="DejaVu Sans"/>
        <family val="2"/>
      </rPr>
      <t xml:space="preserve">へのプロンプトテンプレート（コピペ用）</t>
    </r>
  </si>
  <si>
    <t xml:space="preserve">【バズ投稿収集】</t>
  </si>
  <si>
    <r>
      <rPr>
        <sz val="9"/>
        <rFont val="Arial"/>
        <family val="0"/>
        <charset val="1"/>
      </rPr>
      <t xml:space="preserve">X</t>
    </r>
    <r>
      <rPr>
        <sz val="9"/>
        <rFont val="DejaVu Sans"/>
        <family val="2"/>
      </rPr>
      <t xml:space="preserve">上で「女性用風俗」「女風」「レディースエステ」に関連する投稿のうち、直近</t>
    </r>
    <r>
      <rPr>
        <sz val="9"/>
        <rFont val="Arial"/>
        <family val="0"/>
        <charset val="1"/>
      </rPr>
      <t xml:space="preserve">7</t>
    </r>
    <r>
      <rPr>
        <sz val="9"/>
        <rFont val="DejaVu Sans"/>
        <family val="2"/>
      </rPr>
      <t xml:space="preserve">日間でインプレッション・エンゲージメントが最も高かったものを</t>
    </r>
    <r>
      <rPr>
        <sz val="9"/>
        <rFont val="Arial"/>
        <family val="0"/>
        <charset val="1"/>
      </rPr>
      <t xml:space="preserve">10</t>
    </r>
    <r>
      <rPr>
        <sz val="9"/>
        <rFont val="DejaVu Sans"/>
        <family val="2"/>
      </rPr>
      <t xml:space="preserve">件教えてください。各投稿について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アカウント名、投稿テキスト要約、推定インプレッション数、いいね数、</t>
    </r>
    <r>
      <rPr>
        <sz val="9"/>
        <rFont val="Arial"/>
        <family val="0"/>
        <charset val="1"/>
      </rPr>
      <t xml:space="preserve">RT</t>
    </r>
    <r>
      <rPr>
        <sz val="9"/>
        <rFont val="DejaVu Sans"/>
        <family val="2"/>
      </rPr>
      <t xml:space="preserve">数、バズった理由の分析をお願いします。</t>
    </r>
  </si>
  <si>
    <t xml:space="preserve">【アルゴリズム分析】</t>
  </si>
  <si>
    <r>
      <rPr>
        <sz val="9"/>
        <rFont val="Arial"/>
        <family val="0"/>
        <charset val="1"/>
      </rPr>
      <t xml:space="preserve">X</t>
    </r>
    <r>
      <rPr>
        <sz val="9"/>
        <rFont val="DejaVu Sans"/>
        <family val="2"/>
      </rPr>
      <t xml:space="preserve">の最新アルゴリズムについて教えてください。</t>
    </r>
    <r>
      <rPr>
        <sz val="9"/>
        <rFont val="Arial"/>
        <family val="0"/>
        <charset val="1"/>
      </rPr>
      <t xml:space="preserve">2026</t>
    </r>
    <r>
      <rPr>
        <sz val="9"/>
        <rFont val="DejaVu Sans"/>
        <family val="2"/>
      </rPr>
      <t xml:space="preserve">年</t>
    </r>
    <r>
      <rPr>
        <sz val="9"/>
        <rFont val="Arial"/>
        <family val="0"/>
        <charset val="1"/>
      </rPr>
      <t xml:space="preserve">4</t>
    </r>
    <r>
      <rPr>
        <sz val="9"/>
        <rFont val="DejaVu Sans"/>
        <family val="2"/>
      </rPr>
      <t xml:space="preserve">月現在、どのような投稿がアルゴリズムに優遇されていますか？特に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リプライの重み、画像</t>
    </r>
    <r>
      <rPr>
        <sz val="9"/>
        <rFont val="Arial"/>
        <family val="0"/>
        <charset val="1"/>
      </rPr>
      <t xml:space="preserve">vs</t>
    </r>
    <r>
      <rPr>
        <sz val="9"/>
        <rFont val="DejaVu Sans"/>
        <family val="2"/>
      </rPr>
      <t xml:space="preserve">動画の優遇度、投稿時間帯の影響、ハッシュタグの効果について最新情報をお願いします。</t>
    </r>
  </si>
  <si>
    <t xml:space="preserve">【ターゲット層分析】</t>
  </si>
  <si>
    <r>
      <rPr>
        <sz val="9"/>
        <rFont val="Arial"/>
        <family val="0"/>
        <charset val="1"/>
      </rPr>
      <t xml:space="preserve">X</t>
    </r>
    <r>
      <rPr>
        <sz val="9"/>
        <rFont val="DejaVu Sans"/>
        <family val="2"/>
      </rPr>
      <t xml:space="preserve">上で「癒し」「セルフケア」「自分へのご褒美」「疲れた」などのキーワードで投稿している</t>
    </r>
    <r>
      <rPr>
        <sz val="9"/>
        <rFont val="Arial"/>
        <family val="0"/>
        <charset val="1"/>
      </rPr>
      <t xml:space="preserve">20-40</t>
    </r>
    <r>
      <rPr>
        <sz val="9"/>
        <rFont val="DejaVu Sans"/>
        <family val="2"/>
      </rPr>
      <t xml:space="preserve">代女性ユーザーの最近のトレンドを教えてください。どんな話題・悩み・興味が多いですか？投稿の傾向を</t>
    </r>
    <r>
      <rPr>
        <sz val="9"/>
        <rFont val="Arial"/>
        <family val="0"/>
        <charset val="1"/>
      </rPr>
      <t xml:space="preserve">10</t>
    </r>
    <r>
      <rPr>
        <sz val="9"/>
        <rFont val="DejaVu Sans"/>
        <family val="2"/>
      </rPr>
      <t xml:space="preserve">個にまとめてください。</t>
    </r>
  </si>
  <si>
    <r>
      <rPr>
        <b val="true"/>
        <sz val="14"/>
        <color rgb="FF6A1B9A"/>
        <rFont val="DejaVu Sans"/>
        <family val="2"/>
      </rPr>
      <t xml:space="preserve">■ 業界トレンド・時事ネタ</t>
    </r>
    <r>
      <rPr>
        <b val="true"/>
        <sz val="14"/>
        <color rgb="FF6A1B9A"/>
        <rFont val="Arial"/>
        <family val="0"/>
        <charset val="1"/>
      </rPr>
      <t xml:space="preserve">DB</t>
    </r>
    <r>
      <rPr>
        <b val="true"/>
        <sz val="14"/>
        <color rgb="FF6A1B9A"/>
        <rFont val="DejaVu Sans"/>
        <family val="2"/>
      </rPr>
      <t xml:space="preserve">（</t>
    </r>
    <r>
      <rPr>
        <b val="true"/>
        <sz val="14"/>
        <color rgb="FF6A1B9A"/>
        <rFont val="Arial"/>
        <family val="0"/>
        <charset val="1"/>
      </rPr>
      <t xml:space="preserve">Perplexity</t>
    </r>
    <r>
      <rPr>
        <b val="true"/>
        <sz val="14"/>
        <color rgb="FF6A1B9A"/>
        <rFont val="DejaVu Sans"/>
        <family val="2"/>
      </rPr>
      <t xml:space="preserve">で収集 → 投稿・記事ネタに活用）</t>
    </r>
  </si>
  <si>
    <r>
      <rPr>
        <sz val="9"/>
        <color rgb="FF666666"/>
        <rFont val="DejaVu Sans"/>
        <family val="2"/>
      </rPr>
      <t xml:space="preserve">使い方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DejaVu Sans"/>
        <family val="2"/>
      </rPr>
      <t xml:space="preserve">週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DejaVu Sans"/>
        <family val="2"/>
      </rPr>
      <t xml:space="preserve">回、</t>
    </r>
    <r>
      <rPr>
        <sz val="9"/>
        <color rgb="FF666666"/>
        <rFont val="Arial"/>
        <family val="0"/>
        <charset val="1"/>
      </rPr>
      <t xml:space="preserve">Perplexity</t>
    </r>
    <r>
      <rPr>
        <sz val="9"/>
        <color rgb="FF666666"/>
        <rFont val="DejaVu Sans"/>
        <family val="2"/>
      </rPr>
      <t xml:space="preserve">で業界ニュース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ターゲット層トレンドを検索し、投稿ネタ候補としてストック</t>
    </r>
  </si>
  <si>
    <t xml:space="preserve">ソース</t>
  </si>
  <si>
    <r>
      <rPr>
        <b val="true"/>
        <sz val="11"/>
        <color rgb="FFFFFFFF"/>
        <rFont val="DejaVu Sans"/>
        <family val="2"/>
      </rPr>
      <t xml:space="preserve">トレンド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ニュース概要</t>
    </r>
  </si>
  <si>
    <t xml:space="preserve">投稿ネタ転用案</t>
  </si>
  <si>
    <t xml:space="preserve">記事ネタ転用案</t>
  </si>
  <si>
    <t xml:space="preserve">使用済み</t>
  </si>
  <si>
    <r>
      <rPr>
        <b val="true"/>
        <sz val="11"/>
        <color rgb="FFFFFFFF"/>
        <rFont val="DejaVu Sans"/>
        <family val="2"/>
      </rPr>
      <t xml:space="preserve">出典</t>
    </r>
    <r>
      <rPr>
        <b val="true"/>
        <sz val="11"/>
        <color rgb="FFFFFFFF"/>
        <rFont val="Arial"/>
        <family val="0"/>
        <charset val="1"/>
      </rPr>
      <t xml:space="preserve">URL</t>
    </r>
  </si>
  <si>
    <t xml:space="preserve">Perplexity</t>
  </si>
  <si>
    <t xml:space="preserve">業界動向</t>
  </si>
  <si>
    <r>
      <rPr>
        <sz val="10"/>
        <rFont val="DejaVu Sans"/>
        <family val="2"/>
      </rPr>
      <t xml:space="preserve">女性向けリラクゼーション市場が前年比</t>
    </r>
    <r>
      <rPr>
        <sz val="10"/>
        <rFont val="Arial"/>
        <family val="0"/>
        <charset val="1"/>
      </rPr>
      <t xml:space="preserve">120%</t>
    </r>
    <r>
      <rPr>
        <sz val="10"/>
        <rFont val="DejaVu Sans"/>
        <family val="2"/>
      </rPr>
      <t xml:space="preserve">成長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矢野経済研究所</t>
    </r>
    <r>
      <rPr>
        <sz val="10"/>
        <rFont val="Arial"/>
        <family val="0"/>
        <charset val="1"/>
      </rPr>
      <t xml:space="preserve">)</t>
    </r>
  </si>
  <si>
    <t xml:space="preserve">「女性が癒しを求める時代、プロの手で…」系投稿</t>
  </si>
  <si>
    <t xml:space="preserve">【データ記事】女性用リラクゼーション市場の伸びとその背景</t>
  </si>
  <si>
    <t xml:space="preserve">ターゲット層</t>
  </si>
  <si>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代女性の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割が『自分時間の確保』を最重要課題と回答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マイナビ調査</t>
    </r>
    <r>
      <rPr>
        <sz val="10"/>
        <rFont val="Arial"/>
        <family val="0"/>
        <charset val="1"/>
      </rPr>
      <t xml:space="preserve">)</t>
    </r>
  </si>
  <si>
    <t xml:space="preserve">「自分だけの時間、最後にいつ過ごしましたか？」共感投稿</t>
  </si>
  <si>
    <t xml:space="preserve">働く女性の自分時間調査レポート→サービス紹介</t>
  </si>
  <si>
    <t xml:space="preserve">Grok/X</t>
  </si>
  <si>
    <r>
      <rPr>
        <sz val="10"/>
        <rFont val="Arial"/>
        <family val="0"/>
        <charset val="1"/>
      </rPr>
      <t xml:space="preserve">X</t>
    </r>
    <r>
      <rPr>
        <sz val="10"/>
        <rFont val="DejaVu Sans"/>
        <family val="2"/>
      </rPr>
      <t xml:space="preserve">トレンド</t>
    </r>
  </si>
  <si>
    <r>
      <rPr>
        <sz val="10"/>
        <rFont val="DejaVu Sans"/>
        <family val="2"/>
      </rPr>
      <t xml:space="preserve">「</t>
    </r>
    <r>
      <rPr>
        <sz val="10"/>
        <rFont val="Arial"/>
        <family val="0"/>
        <charset val="1"/>
      </rPr>
      <t xml:space="preserve">#</t>
    </r>
    <r>
      <rPr>
        <sz val="10"/>
        <rFont val="DejaVu Sans"/>
        <family val="2"/>
      </rPr>
      <t xml:space="preserve">セルフケア」が</t>
    </r>
    <r>
      <rPr>
        <sz val="10"/>
        <rFont val="Arial"/>
        <family val="0"/>
        <charset val="1"/>
      </rPr>
      <t xml:space="preserve">X</t>
    </r>
    <r>
      <rPr>
        <sz val="10"/>
        <rFont val="DejaVu Sans"/>
        <family val="2"/>
      </rPr>
      <t xml:space="preserve">上で急上昇。投稿数が前月比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倍</t>
    </r>
  </si>
  <si>
    <r>
      <rPr>
        <sz val="10"/>
        <rFont val="DejaVu Sans"/>
        <family val="2"/>
      </rPr>
      <t xml:space="preserve">ハッシュタグ </t>
    </r>
    <r>
      <rPr>
        <sz val="10"/>
        <rFont val="Arial"/>
        <family val="0"/>
        <charset val="1"/>
      </rPr>
      <t xml:space="preserve">#</t>
    </r>
    <r>
      <rPr>
        <sz val="10"/>
        <rFont val="DejaVu Sans"/>
        <family val="2"/>
      </rPr>
      <t xml:space="preserve">セルフケア を投稿に積極採用</t>
    </r>
  </si>
  <si>
    <r>
      <rPr>
        <sz val="10"/>
        <rFont val="DejaVu Sans"/>
        <family val="2"/>
      </rPr>
      <t xml:space="preserve">セルフケア特集記事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女風をセルフケアの一環として訴求</t>
    </r>
    <r>
      <rPr>
        <sz val="10"/>
        <rFont val="Arial"/>
        <family val="0"/>
        <charset val="1"/>
      </rPr>
      <t xml:space="preserve">)</t>
    </r>
  </si>
  <si>
    <r>
      <rPr>
        <b val="true"/>
        <sz val="12"/>
        <color rgb="FF6A1B9A"/>
        <rFont val="Arial"/>
        <family val="0"/>
        <charset val="1"/>
      </rPr>
      <t xml:space="preserve">■ Perplexity</t>
    </r>
    <r>
      <rPr>
        <b val="true"/>
        <sz val="12"/>
        <color rgb="FF6A1B9A"/>
        <rFont val="DejaVu Sans"/>
        <family val="2"/>
      </rPr>
      <t xml:space="preserve">へのプロンプトテンプレート（コピペ用）</t>
    </r>
  </si>
  <si>
    <t xml:space="preserve">【業界トレンド】</t>
  </si>
  <si>
    <r>
      <rPr>
        <sz val="9"/>
        <rFont val="DejaVu Sans"/>
        <family val="2"/>
      </rPr>
      <t xml:space="preserve">日本の女性向けリラクゼーション・セラピー業界の</t>
    </r>
    <r>
      <rPr>
        <sz val="9"/>
        <rFont val="Arial"/>
        <family val="0"/>
        <charset val="1"/>
      </rPr>
      <t xml:space="preserve">2026</t>
    </r>
    <r>
      <rPr>
        <sz val="9"/>
        <rFont val="DejaVu Sans"/>
        <family val="2"/>
      </rPr>
      <t xml:space="preserve">年最新トレンドを教えてください。市場規模、成長率、注目サービス、消費者の変化について、出典付きでまとめてください。</t>
    </r>
  </si>
  <si>
    <t xml:space="preserve">【ターゲット層リサーチ】</t>
  </si>
  <si>
    <r>
      <rPr>
        <sz val="9"/>
        <rFont val="DejaVu Sans"/>
        <family val="2"/>
      </rPr>
      <t xml:space="preserve">日本の</t>
    </r>
    <r>
      <rPr>
        <sz val="9"/>
        <rFont val="Arial"/>
        <family val="0"/>
        <charset val="1"/>
      </rPr>
      <t xml:space="preserve">25-40</t>
    </r>
    <r>
      <rPr>
        <sz val="9"/>
        <rFont val="DejaVu Sans"/>
        <family val="2"/>
      </rPr>
      <t xml:space="preserve">歳女性の「癒し」「リラクゼーション」「セルフケア」に関する最新の消費動向・意識調査を教えてください。特に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利用頻度、予算感、求めているもの、</t>
    </r>
    <r>
      <rPr>
        <sz val="9"/>
        <rFont val="Arial"/>
        <family val="0"/>
        <charset val="1"/>
      </rPr>
      <t xml:space="preserve">SNS</t>
    </r>
    <r>
      <rPr>
        <sz val="9"/>
        <rFont val="DejaVu Sans"/>
        <family val="2"/>
      </rPr>
      <t xml:space="preserve">での情報収集行動について。出典付きでお願いします。</t>
    </r>
  </si>
  <si>
    <t xml:space="preserve">【横浜ローカル】</t>
  </si>
  <si>
    <t xml:space="preserve">横浜・みなとみらいエリアの女性向けリラクゼーション・スパ・セラピーの最新情報を教えてください。新規オープン店舗、人気スポット、地域の特徴的なトレンドについて。</t>
  </si>
  <si>
    <t xml:space="preserve">【福岡ローカル】</t>
  </si>
  <si>
    <t xml:space="preserve">福岡・博多・天神エリアの女性向けリラクゼーション・セラピーの最新情報を教えてください。地域特有のトレンドや、東京・大阪との違いについても。</t>
  </si>
  <si>
    <r>
      <rPr>
        <b val="true"/>
        <sz val="14"/>
        <color rgb="FF1565C0"/>
        <rFont val="Arial"/>
        <family val="0"/>
        <charset val="1"/>
      </rPr>
      <t xml:space="preserve">■ X</t>
    </r>
    <r>
      <rPr>
        <b val="true"/>
        <sz val="14"/>
        <color rgb="FF1565C0"/>
        <rFont val="DejaVu Sans"/>
        <family val="2"/>
      </rPr>
      <t xml:space="preserve">アルゴリズム変動ログ（</t>
    </r>
    <r>
      <rPr>
        <b val="true"/>
        <sz val="14"/>
        <color rgb="FF1565C0"/>
        <rFont val="Arial"/>
        <family val="0"/>
        <charset val="1"/>
      </rPr>
      <t xml:space="preserve">Grok</t>
    </r>
    <r>
      <rPr>
        <b val="true"/>
        <sz val="14"/>
        <color rgb="FF1565C0"/>
        <rFont val="DejaVu Sans"/>
        <family val="2"/>
      </rPr>
      <t xml:space="preserve">で収集 → 運用ルール即時更新）</t>
    </r>
  </si>
  <si>
    <r>
      <rPr>
        <sz val="9"/>
        <color rgb="FF666666"/>
        <rFont val="Arial"/>
        <family val="0"/>
        <charset val="1"/>
      </rPr>
      <t xml:space="preserve">Grok</t>
    </r>
    <r>
      <rPr>
        <sz val="9"/>
        <color rgb="FF666666"/>
        <rFont val="DejaVu Sans"/>
        <family val="2"/>
      </rPr>
      <t xml:space="preserve">に『</t>
    </r>
    <r>
      <rPr>
        <sz val="9"/>
        <color rgb="FF666666"/>
        <rFont val="Arial"/>
        <family val="0"/>
        <charset val="1"/>
      </rPr>
      <t xml:space="preserve">X</t>
    </r>
    <r>
      <rPr>
        <sz val="9"/>
        <color rgb="FF666666"/>
        <rFont val="DejaVu Sans"/>
        <family val="2"/>
      </rPr>
      <t xml:space="preserve">の最新アルゴリズム変更』を月</t>
    </r>
    <r>
      <rPr>
        <sz val="9"/>
        <color rgb="FF666666"/>
        <rFont val="Arial"/>
        <family val="0"/>
        <charset val="1"/>
      </rPr>
      <t xml:space="preserve">2</t>
    </r>
    <r>
      <rPr>
        <sz val="9"/>
        <color rgb="FF666666"/>
        <rFont val="DejaVu Sans"/>
        <family val="2"/>
      </rPr>
      <t xml:space="preserve">回聞き、運用ルールを即反映する</t>
    </r>
  </si>
  <si>
    <t xml:space="preserve">確認日</t>
  </si>
  <si>
    <t xml:space="preserve">情報源</t>
  </si>
  <si>
    <t xml:space="preserve">アルゴリズム変更内容</t>
  </si>
  <si>
    <t xml:space="preserve">影響度</t>
  </si>
  <si>
    <t xml:space="preserve">運用への影響</t>
  </si>
  <si>
    <t xml:space="preserve">対応アクション</t>
  </si>
  <si>
    <t xml:space="preserve">反映済み</t>
  </si>
  <si>
    <t xml:space="preserve">Grok</t>
  </si>
  <si>
    <r>
      <rPr>
        <sz val="10"/>
        <rFont val="DejaVu Sans"/>
        <family val="2"/>
      </rPr>
      <t xml:space="preserve">リプライチェーンの重みが増加。会話を生む投稿が</t>
    </r>
    <r>
      <rPr>
        <sz val="10"/>
        <rFont val="Arial"/>
        <family val="0"/>
        <charset val="1"/>
      </rPr>
      <t xml:space="preserve">For You</t>
    </r>
    <r>
      <rPr>
        <sz val="10"/>
        <rFont val="DejaVu Sans"/>
        <family val="2"/>
      </rPr>
      <t xml:space="preserve">に優遇</t>
    </r>
  </si>
  <si>
    <r>
      <rPr>
        <sz val="10"/>
        <rFont val="DejaVu Sans"/>
        <family val="2"/>
      </rPr>
      <t xml:space="preserve">質問形式・意見を促す投稿の優先度</t>
    </r>
    <r>
      <rPr>
        <sz val="10"/>
        <rFont val="Arial"/>
        <family val="0"/>
        <charset val="1"/>
      </rPr>
      <t xml:space="preserve">UP</t>
    </r>
  </si>
  <si>
    <r>
      <rPr>
        <sz val="10"/>
        <rFont val="DejaVu Sans"/>
        <family val="2"/>
      </rPr>
      <t xml:space="preserve">インタラクション枠を</t>
    </r>
    <r>
      <rPr>
        <sz val="10"/>
        <rFont val="Arial"/>
        <family val="0"/>
        <charset val="1"/>
      </rPr>
      <t xml:space="preserve">10%→15%</t>
    </r>
    <r>
      <rPr>
        <sz val="10"/>
        <rFont val="DejaVu Sans"/>
        <family val="2"/>
      </rPr>
      <t xml:space="preserve">に引上げ検討</t>
    </r>
  </si>
  <si>
    <r>
      <rPr>
        <sz val="10"/>
        <rFont val="DejaVu Sans"/>
        <family val="2"/>
      </rPr>
      <t xml:space="preserve">画像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枚カルーセルの</t>
    </r>
    <r>
      <rPr>
        <sz val="10"/>
        <rFont val="Arial"/>
        <family val="0"/>
        <charset val="1"/>
      </rPr>
      <t xml:space="preserve">Imp</t>
    </r>
    <r>
      <rPr>
        <sz val="10"/>
        <rFont val="DejaVu Sans"/>
        <family val="2"/>
      </rPr>
      <t xml:space="preserve">が単画像の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倍に</t>
    </r>
  </si>
  <si>
    <r>
      <rPr>
        <sz val="10"/>
        <rFont val="DejaVu Sans"/>
        <family val="2"/>
      </rPr>
      <t xml:space="preserve">キャスト紹介は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枚カルーセル推奨</t>
    </r>
  </si>
  <si>
    <r>
      <rPr>
        <sz val="10"/>
        <rFont val="DejaVu Sans"/>
        <family val="2"/>
      </rPr>
      <t xml:space="preserve">画像案を『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枚セット』前提に変更</t>
    </r>
  </si>
  <si>
    <r>
      <rPr>
        <sz val="10"/>
        <rFont val="DejaVu Sans"/>
        <family val="2"/>
      </rPr>
      <t xml:space="preserve">センシティブ判定</t>
    </r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が強化。肌色面積の閾値が下がった模様</t>
    </r>
  </si>
  <si>
    <t xml:space="preserve">キャスト写真はさらに控えめに</t>
  </si>
  <si>
    <r>
      <rPr>
        <sz val="10"/>
        <rFont val="Arial"/>
        <family val="0"/>
        <charset val="1"/>
      </rPr>
      <t xml:space="preserve">BAN</t>
    </r>
    <r>
      <rPr>
        <sz val="10"/>
        <rFont val="DejaVu Sans"/>
        <family val="2"/>
      </rPr>
      <t xml:space="preserve">回避ルールの肌面積基準を</t>
    </r>
    <r>
      <rPr>
        <sz val="10"/>
        <rFont val="Arial"/>
        <family val="0"/>
        <charset val="1"/>
      </rPr>
      <t xml:space="preserve">20%</t>
    </r>
    <r>
      <rPr>
        <sz val="10"/>
        <rFont val="DejaVu Sans"/>
        <family val="2"/>
      </rPr>
      <t xml:space="preserve">に引下げ</t>
    </r>
  </si>
  <si>
    <t xml:space="preserve">■ 現在の運用ルール（アルゴ対応版）— 最終更新日をここに記録</t>
  </si>
  <si>
    <t xml:space="preserve">項目</t>
  </si>
  <si>
    <t xml:space="preserve">現在のルール</t>
  </si>
  <si>
    <t xml:space="preserve">投稿形式</t>
  </si>
  <si>
    <r>
      <rPr>
        <sz val="10"/>
        <rFont val="DejaVu Sans"/>
        <family val="2"/>
      </rPr>
      <t xml:space="preserve">テキスト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画像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枚カルーセルが最強。動画は</t>
    </r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秒以内ショート推奨</t>
    </r>
  </si>
  <si>
    <t xml:space="preserve">リプライ誘導</t>
  </si>
  <si>
    <r>
      <rPr>
        <sz val="10"/>
        <rFont val="DejaVu Sans"/>
        <family val="2"/>
      </rPr>
      <t xml:space="preserve">全投稿の</t>
    </r>
    <r>
      <rPr>
        <sz val="10"/>
        <rFont val="Arial"/>
        <family val="0"/>
        <charset val="1"/>
      </rPr>
      <t xml:space="preserve">30%</t>
    </r>
    <r>
      <rPr>
        <sz val="10"/>
        <rFont val="DejaVu Sans"/>
        <family val="2"/>
      </rPr>
      <t xml:space="preserve">以上に質問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意見募集を含める</t>
    </r>
  </si>
  <si>
    <t xml:space="preserve">投稿間隔</t>
  </si>
  <si>
    <r>
      <rPr>
        <sz val="10"/>
        <rFont val="DejaVu Sans"/>
        <family val="2"/>
      </rPr>
      <t xml:space="preserve">最低</t>
    </r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分。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日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投稿が上限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過投稿ペナルティ回避</t>
    </r>
    <r>
      <rPr>
        <sz val="10"/>
        <rFont val="Arial"/>
        <family val="0"/>
        <charset val="1"/>
      </rPr>
      <t xml:space="preserve">)</t>
    </r>
  </si>
  <si>
    <t xml:space="preserve">ハッシュタグ</t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</si>
  <si>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投稿あたり</t>
    </r>
    <r>
      <rPr>
        <sz val="10"/>
        <rFont val="Arial"/>
        <family val="0"/>
        <charset val="1"/>
      </rPr>
      <t xml:space="preserve">1-2</t>
    </r>
    <r>
      <rPr>
        <sz val="10"/>
        <rFont val="DejaVu Sans"/>
        <family val="2"/>
      </rPr>
      <t xml:space="preserve">個。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個以上はスパム判定リスク</t>
    </r>
  </si>
  <si>
    <r>
      <rPr>
        <sz val="10"/>
        <rFont val="DejaVu Sans"/>
        <family val="2"/>
      </rPr>
      <t xml:space="preserve">投稿末尾に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本のみ。本文中</t>
    </r>
    <r>
      <rPr>
        <sz val="10"/>
        <rFont val="Arial"/>
        <family val="0"/>
        <charset val="1"/>
      </rPr>
      <t xml:space="preserve">URL</t>
    </r>
    <r>
      <rPr>
        <sz val="10"/>
        <rFont val="DejaVu Sans"/>
        <family val="2"/>
      </rPr>
      <t xml:space="preserve">は</t>
    </r>
    <r>
      <rPr>
        <sz val="10"/>
        <rFont val="Arial"/>
        <family val="0"/>
        <charset val="1"/>
      </rPr>
      <t xml:space="preserve">Imp</t>
    </r>
    <r>
      <rPr>
        <sz val="10"/>
        <rFont val="DejaVu Sans"/>
        <family val="2"/>
      </rPr>
      <t xml:space="preserve">低下要因</t>
    </r>
  </si>
  <si>
    <r>
      <rPr>
        <b val="true"/>
        <sz val="11"/>
        <rFont val="DejaVu Sans"/>
        <family val="2"/>
      </rPr>
      <t xml:space="preserve">引用</t>
    </r>
    <r>
      <rPr>
        <b val="true"/>
        <sz val="11"/>
        <rFont val="Arial"/>
        <family val="0"/>
        <charset val="1"/>
      </rPr>
      <t xml:space="preserve">RT</t>
    </r>
  </si>
  <si>
    <r>
      <rPr>
        <sz val="10"/>
        <rFont val="DejaVu Sans"/>
        <family val="2"/>
      </rPr>
      <t xml:space="preserve">通常</t>
    </r>
    <r>
      <rPr>
        <sz val="10"/>
        <rFont val="Arial"/>
        <family val="0"/>
        <charset val="1"/>
      </rPr>
      <t xml:space="preserve">RT</t>
    </r>
    <r>
      <rPr>
        <sz val="10"/>
        <rFont val="DejaVu Sans"/>
        <family val="2"/>
      </rPr>
      <t xml:space="preserve">より引用</t>
    </r>
    <r>
      <rPr>
        <sz val="10"/>
        <rFont val="Arial"/>
        <family val="0"/>
        <charset val="1"/>
      </rPr>
      <t xml:space="preserve">RT</t>
    </r>
    <r>
      <rPr>
        <sz val="10"/>
        <rFont val="DejaVu Sans"/>
        <family val="2"/>
      </rPr>
      <t xml:space="preserve">の方がアルゴ優遇。積極的に引用する</t>
    </r>
  </si>
  <si>
    <t xml:space="preserve">投稿時間</t>
  </si>
  <si>
    <r>
      <rPr>
        <sz val="10"/>
        <rFont val="Arial"/>
        <family val="0"/>
        <charset val="1"/>
      </rPr>
      <t xml:space="preserve">22-23</t>
    </r>
    <r>
      <rPr>
        <sz val="10"/>
        <rFont val="DejaVu Sans"/>
        <family val="2"/>
      </rPr>
      <t xml:space="preserve">時がピーク。</t>
    </r>
    <r>
      <rPr>
        <sz val="10"/>
        <rFont val="Arial"/>
        <family val="0"/>
        <charset val="1"/>
      </rPr>
      <t xml:space="preserve">7-8</t>
    </r>
    <r>
      <rPr>
        <sz val="10"/>
        <rFont val="DejaVu Sans"/>
        <family val="2"/>
      </rPr>
      <t xml:space="preserve">時の朝投稿も安定</t>
    </r>
  </si>
  <si>
    <t xml:space="preserve">センシティブ</t>
  </si>
  <si>
    <r>
      <rPr>
        <sz val="10"/>
        <rFont val="DejaVu Sans"/>
        <family val="2"/>
      </rPr>
      <t xml:space="preserve">肌面積</t>
    </r>
    <r>
      <rPr>
        <sz val="10"/>
        <rFont val="Arial"/>
        <family val="0"/>
        <charset val="1"/>
      </rPr>
      <t xml:space="preserve">20%</t>
    </r>
    <r>
      <rPr>
        <sz val="10"/>
        <rFont val="DejaVu Sans"/>
        <family val="2"/>
      </rPr>
      <t xml:space="preserve">以下。シルエット・イラスト・風景を推奨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</si>
</sst>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.0"/>
    <numFmt numFmtId="167" formatCode="#,##0"/>
    <numFmt numFmtId="168" formatCode="\+0.0%;\-0.0%"/>
    <numFmt numFmtId="169" formatCode="0.00%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91E63"/>
      <name val="DejaVu Sans"/>
      <family val="2"/>
    </font>
    <font>
      <b val="true"/>
      <sz val="16"/>
      <color rgb="FFE91E63"/>
      <name val="DejaVu Sans"/>
      <family val="2"/>
      <charset val="1"/>
    </font>
    <font>
      <b val="true"/>
      <sz val="11"/>
      <name val="DejaVu Sans"/>
      <family val="2"/>
    </font>
    <font>
      <sz val="11"/>
      <color theme="1"/>
      <name val="DejaVu Sans"/>
      <family val="2"/>
    </font>
    <font>
      <b val="true"/>
      <sz val="12"/>
      <color rgb="FFE91E63"/>
      <name val="DejaVu Sans"/>
      <family val="2"/>
    </font>
    <font>
      <b val="true"/>
      <sz val="12"/>
      <color rgb="FFE91E63"/>
      <name val="DejaVu Sans"/>
      <family val="2"/>
      <charset val="1"/>
    </font>
    <font>
      <b val="true"/>
      <sz val="11"/>
      <color rgb="FFFFFFFF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2"/>
      <color rgb="FFE91E6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  <charset val="1"/>
    </font>
    <font>
      <b val="true"/>
      <sz val="11"/>
      <name val="DejaVu Sans"/>
      <family val="2"/>
      <charset val="1"/>
    </font>
    <font>
      <sz val="10"/>
      <name val="DejaVu Sans"/>
      <family val="2"/>
      <charset val="1"/>
    </font>
    <font>
      <b val="true"/>
      <sz val="14"/>
      <color rgb="FF1565C0"/>
      <name val="DejaVu Sans"/>
      <family val="2"/>
    </font>
    <font>
      <b val="true"/>
      <sz val="14"/>
      <color rgb="FFE91E63"/>
      <name val="Arial"/>
      <family val="0"/>
      <charset val="1"/>
    </font>
    <font>
      <b val="true"/>
      <sz val="14"/>
      <color rgb="FFE91E63"/>
      <name val="DejaVu Sans"/>
      <family val="2"/>
    </font>
    <font>
      <sz val="11"/>
      <color theme="1"/>
      <name val="DejaVu Sans"/>
      <family val="2"/>
      <charset val="1"/>
    </font>
    <font>
      <sz val="9"/>
      <color rgb="FF666666"/>
      <name val="DejaVu Sans"/>
      <family val="2"/>
    </font>
    <font>
      <sz val="9"/>
      <color rgb="FF666666"/>
      <name val="Arial"/>
      <family val="0"/>
      <charset val="1"/>
    </font>
    <font>
      <sz val="9"/>
      <name val="Arial"/>
      <family val="0"/>
      <charset val="1"/>
    </font>
    <font>
      <sz val="9"/>
      <name val="DejaVu Sans"/>
      <family val="2"/>
    </font>
    <font>
      <b val="true"/>
      <sz val="14"/>
      <color rgb="FF6A1B9A"/>
      <name val="DejaVu Sans"/>
      <family val="2"/>
    </font>
    <font>
      <b val="true"/>
      <sz val="14"/>
      <color rgb="FF6A1B9A"/>
      <name val="Arial"/>
      <family val="0"/>
      <charset val="1"/>
    </font>
    <font>
      <b val="true"/>
      <sz val="12"/>
      <color rgb="FF6A1B9A"/>
      <name val="Arial"/>
      <family val="0"/>
      <charset val="1"/>
    </font>
    <font>
      <b val="true"/>
      <sz val="12"/>
      <color rgb="FF6A1B9A"/>
      <name val="DejaVu Sans"/>
      <family val="2"/>
    </font>
    <font>
      <b val="true"/>
      <sz val="14"/>
      <color rgb="FF1565C0"/>
      <name val="Arial"/>
      <family val="0"/>
      <charset val="1"/>
    </font>
    <font>
      <b val="true"/>
      <sz val="12"/>
      <color rgb="FF1565C0"/>
      <name val="DejaVu Sans"/>
      <family val="2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91E63"/>
        <bgColor rgb="FF993366"/>
      </patternFill>
    </fill>
    <fill>
      <patternFill patternType="solid">
        <fgColor rgb="FFFFF9C4"/>
        <bgColor rgb="FFFFFF99"/>
      </patternFill>
    </fill>
    <fill>
      <patternFill patternType="solid">
        <fgColor rgb="FF1565C0"/>
        <bgColor rgb="FF3366FF"/>
      </patternFill>
    </fill>
    <fill>
      <patternFill patternType="solid">
        <fgColor rgb="FFF5F5F5"/>
        <bgColor rgb="FFFFFFFF"/>
      </patternFill>
    </fill>
    <fill>
      <patternFill patternType="solid">
        <fgColor rgb="FFFCE4EC"/>
        <bgColor rgb="FFF5F5F5"/>
      </patternFill>
    </fill>
    <fill>
      <patternFill patternType="solid">
        <fgColor rgb="FF6A1B9A"/>
        <bgColor rgb="FF800080"/>
      </patternFill>
    </fill>
    <fill>
      <patternFill patternType="solid">
        <fgColor rgb="FF00695C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695C"/>
      <rgbColor rgb="FFCCCCCC"/>
      <rgbColor rgb="FF808080"/>
      <rgbColor rgb="FF9999FF"/>
      <rgbColor rgb="FF993366"/>
      <rgbColor rgb="FFFFF9C4"/>
      <rgbColor rgb="FFF5F5F5"/>
      <rgbColor rgb="FF660066"/>
      <rgbColor rgb="FFFF8080"/>
      <rgbColor rgb="FF1565C0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5" min="3" style="1" width="14"/>
    <col collapsed="false" customWidth="true" hidden="false" outlineLevel="0" max="6" min="6" style="1" width="12"/>
  </cols>
  <sheetData>
    <row r="1" customFormat="false" ht="18.75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</v>
      </c>
      <c r="B3" s="1" t="s">
        <v>2</v>
      </c>
    </row>
    <row r="4" customFormat="false" ht="15" hidden="false" customHeight="true" outlineLevel="0" collapsed="false">
      <c r="A4" s="3" t="s">
        <v>3</v>
      </c>
      <c r="B4" s="1" t="s">
        <v>4</v>
      </c>
    </row>
    <row r="6" customFormat="false" ht="15" hidden="false" customHeight="true" outlineLevel="0" collapsed="false">
      <c r="A6" s="4" t="s">
        <v>5</v>
      </c>
    </row>
    <row r="7" customFormat="false" ht="15" hidden="false" customHeight="true" outlineLevel="0" collapsed="false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</row>
    <row r="8" customFormat="false" ht="15" hidden="false" customHeight="true" outlineLevel="0" collapsed="false">
      <c r="A8" s="6" t="s">
        <v>12</v>
      </c>
      <c r="B8" s="7" t="s">
        <v>13</v>
      </c>
      <c r="C8" s="6" t="s">
        <v>14</v>
      </c>
      <c r="D8" s="6" t="s">
        <v>15</v>
      </c>
      <c r="E8" s="8" t="n">
        <f aca="false">IF(D8="—",0,IF(ISNUMBER(D8),MAX(0,(11-D8)/10),0))</f>
        <v>0</v>
      </c>
      <c r="F8" s="6" t="n">
        <f aca="true">DATEDIF(TODAY(),DATE(2026,12,31),"D")</f>
        <v>258</v>
      </c>
    </row>
    <row r="9" customFormat="false" ht="15" hidden="false" customHeight="true" outlineLevel="0" collapsed="false">
      <c r="A9" s="6" t="s">
        <v>12</v>
      </c>
      <c r="B9" s="7" t="s">
        <v>16</v>
      </c>
      <c r="C9" s="6" t="s">
        <v>14</v>
      </c>
      <c r="D9" s="6" t="s">
        <v>15</v>
      </c>
      <c r="E9" s="8" t="n">
        <f aca="false">IF(D9="—",0,IF(ISNUMBER(D9),MAX(0,(11-D9)/10),0))</f>
        <v>0</v>
      </c>
      <c r="F9" s="6" t="n">
        <f aca="true">DATEDIF(TODAY(),DATE(2026,12,31),"D")</f>
        <v>258</v>
      </c>
    </row>
    <row r="10" customFormat="false" ht="15" hidden="false" customHeight="true" outlineLevel="0" collapsed="false">
      <c r="A10" s="6" t="s">
        <v>12</v>
      </c>
      <c r="B10" s="7" t="s">
        <v>17</v>
      </c>
      <c r="C10" s="6" t="s">
        <v>14</v>
      </c>
      <c r="D10" s="6" t="s">
        <v>15</v>
      </c>
      <c r="E10" s="8" t="n">
        <f aca="false">IF(D10="—",0,IF(ISNUMBER(D10),MAX(0,(11-D10)/10),0))</f>
        <v>0</v>
      </c>
      <c r="F10" s="6" t="n">
        <f aca="true">DATEDIF(TODAY(),DATE(2026,12,31),"D")</f>
        <v>258</v>
      </c>
    </row>
    <row r="11" customFormat="false" ht="15" hidden="false" customHeight="true" outlineLevel="0" collapsed="false">
      <c r="A11" s="6" t="s">
        <v>12</v>
      </c>
      <c r="B11" s="7" t="s">
        <v>18</v>
      </c>
      <c r="C11" s="6" t="s">
        <v>14</v>
      </c>
      <c r="D11" s="6" t="s">
        <v>15</v>
      </c>
      <c r="E11" s="8" t="n">
        <f aca="false">IF(D11="—",0,IF(ISNUMBER(D11),MAX(0,(11-D11)/10),0))</f>
        <v>0</v>
      </c>
      <c r="F11" s="6" t="n">
        <f aca="true">DATEDIF(TODAY(),DATE(2026,12,31),"D")</f>
        <v>258</v>
      </c>
    </row>
    <row r="12" customFormat="false" ht="15" hidden="false" customHeight="true" outlineLevel="0" collapsed="false">
      <c r="A12" s="6" t="s">
        <v>19</v>
      </c>
      <c r="B12" s="7" t="s">
        <v>20</v>
      </c>
      <c r="C12" s="6" t="n">
        <v>10000</v>
      </c>
      <c r="D12" s="6" t="n">
        <v>0</v>
      </c>
      <c r="E12" s="8" t="n">
        <f aca="false">D12/C12</f>
        <v>0</v>
      </c>
      <c r="F12" s="6" t="n">
        <f aca="true">DATEDIF(TODAY(),DATE(2026,12,31),"D")</f>
        <v>258</v>
      </c>
    </row>
    <row r="13" customFormat="false" ht="15" hidden="false" customHeight="true" outlineLevel="0" collapsed="false">
      <c r="A13" s="6" t="s">
        <v>21</v>
      </c>
      <c r="B13" s="7" t="s">
        <v>20</v>
      </c>
      <c r="C13" s="6" t="n">
        <v>3000</v>
      </c>
      <c r="D13" s="6" t="n">
        <v>0</v>
      </c>
      <c r="E13" s="8" t="n">
        <f aca="false">D13/C13</f>
        <v>0</v>
      </c>
      <c r="F13" s="6" t="n">
        <f aca="true">DATEDIF(TODAY(),DATE(2026,12,31),"D")</f>
        <v>258</v>
      </c>
    </row>
    <row r="14" customFormat="false" ht="15" hidden="false" customHeight="true" outlineLevel="0" collapsed="false">
      <c r="A14" s="6" t="s">
        <v>22</v>
      </c>
      <c r="B14" s="6" t="s">
        <v>23</v>
      </c>
      <c r="C14" s="6" t="n">
        <v>10</v>
      </c>
      <c r="D14" s="6" t="n">
        <v>0</v>
      </c>
      <c r="E14" s="8" t="n">
        <f aca="false">D14/C14</f>
        <v>0</v>
      </c>
      <c r="F14" s="6" t="n">
        <f aca="true">DATEDIF(TODAY(),DATE(2026,12,31),"D")</f>
        <v>258</v>
      </c>
    </row>
    <row r="16" customFormat="false" ht="15" hidden="false" customHeight="true" outlineLevel="0" collapsed="false">
      <c r="A16" s="9" t="s">
        <v>24</v>
      </c>
    </row>
    <row r="17" customFormat="false" ht="15" hidden="false" customHeight="true" outlineLevel="0" collapsed="false">
      <c r="A17" s="5" t="s">
        <v>25</v>
      </c>
      <c r="B17" s="5" t="s">
        <v>26</v>
      </c>
      <c r="C17" s="5" t="s">
        <v>27</v>
      </c>
      <c r="D17" s="5" t="s">
        <v>28</v>
      </c>
      <c r="E17" s="10" t="s">
        <v>29</v>
      </c>
    </row>
    <row r="18" customFormat="false" ht="15" hidden="false" customHeight="true" outlineLevel="0" collapsed="false">
      <c r="A18" s="7" t="s">
        <v>30</v>
      </c>
      <c r="B18" s="6" t="s">
        <v>31</v>
      </c>
      <c r="C18" s="6" t="n">
        <v>76</v>
      </c>
      <c r="D18" s="6" t="n">
        <v>1500</v>
      </c>
      <c r="E18" s="11" t="n">
        <f aca="false">D18/C18</f>
        <v>19.7368421052632</v>
      </c>
    </row>
    <row r="19" customFormat="false" ht="15" hidden="false" customHeight="true" outlineLevel="0" collapsed="false">
      <c r="A19" s="7" t="s">
        <v>32</v>
      </c>
      <c r="B19" s="6" t="s">
        <v>33</v>
      </c>
      <c r="C19" s="6" t="n">
        <v>92</v>
      </c>
      <c r="D19" s="6" t="n">
        <v>4500</v>
      </c>
      <c r="E19" s="11" t="n">
        <f aca="false">D19/C19</f>
        <v>48.9130434782609</v>
      </c>
    </row>
    <row r="20" customFormat="false" ht="15" hidden="false" customHeight="true" outlineLevel="0" collapsed="false">
      <c r="A20" s="7" t="s">
        <v>34</v>
      </c>
      <c r="B20" s="6" t="s">
        <v>35</v>
      </c>
      <c r="C20" s="6" t="n">
        <v>92</v>
      </c>
      <c r="D20" s="6" t="n">
        <v>4000</v>
      </c>
      <c r="E20" s="11" t="n">
        <f aca="false">D20/C20</f>
        <v>43.4782608695652</v>
      </c>
    </row>
    <row r="21" customFormat="false" ht="15" hidden="false" customHeight="true" outlineLevel="0" collapsed="false">
      <c r="A21" s="12" t="s">
        <v>36</v>
      </c>
      <c r="B21" s="13" t="s">
        <v>37</v>
      </c>
      <c r="C21" s="13" t="n">
        <f aca="false">SUM(C18:C20)</f>
        <v>260</v>
      </c>
      <c r="D21" s="13" t="n">
        <f aca="false">SUM(D18:D20)</f>
        <v>10000</v>
      </c>
      <c r="E21" s="14" t="n">
        <f aca="false">D21/C21</f>
        <v>38.4615384615385</v>
      </c>
    </row>
    <row r="23" customFormat="false" ht="15" hidden="false" customHeight="true" outlineLevel="0" collapsed="false">
      <c r="A23" s="9" t="s">
        <v>38</v>
      </c>
    </row>
    <row r="24" customFormat="false" ht="15" hidden="false" customHeight="true" outlineLevel="0" collapsed="false">
      <c r="A24" s="5" t="s">
        <v>7</v>
      </c>
      <c r="B24" s="5" t="s">
        <v>39</v>
      </c>
      <c r="C24" s="5" t="s">
        <v>40</v>
      </c>
      <c r="D24" s="5" t="s">
        <v>41</v>
      </c>
    </row>
    <row r="25" customFormat="false" ht="27.75" hidden="false" customHeight="true" outlineLevel="0" collapsed="false">
      <c r="A25" s="15" t="s">
        <v>42</v>
      </c>
      <c r="B25" s="16" t="n">
        <f aca="false">SUM(日次ダイジェスト!D2:D8)</f>
        <v>0</v>
      </c>
      <c r="C25" s="16" t="n">
        <f aca="false">SUM(日次ダイジェスト!D9:D15)</f>
        <v>0</v>
      </c>
      <c r="D25" s="17" t="str">
        <f aca="false">IF(AND(ISNUMBER(B25),ISNUMBER(C25),C25&gt;0),(B25-C25)/C25,"")</f>
        <v/>
      </c>
    </row>
    <row r="26" customFormat="false" ht="27.75" hidden="false" customHeight="true" outlineLevel="0" collapsed="false">
      <c r="A26" s="15" t="s">
        <v>43</v>
      </c>
      <c r="B26" s="16" t="n">
        <f aca="false">SUM(日次ダイジェスト!E2:E8)</f>
        <v>0</v>
      </c>
      <c r="C26" s="16" t="n">
        <f aca="false">SUM(日次ダイジェスト!E9:E15)</f>
        <v>0</v>
      </c>
      <c r="D26" s="17" t="str">
        <f aca="false">IF(AND(ISNUMBER(B26),ISNUMBER(C26),C26&gt;0),(B26-C26)/C26,"")</f>
        <v/>
      </c>
    </row>
    <row r="27" customFormat="false" ht="15" hidden="false" customHeight="true" outlineLevel="0" collapsed="false">
      <c r="A27" s="15" t="s">
        <v>44</v>
      </c>
      <c r="B27" s="18" t="str">
        <f aca="false">IFERROR(B26/B25,"")</f>
        <v/>
      </c>
      <c r="C27" s="18" t="str">
        <f aca="false">IFERROR(C26/C25,"")</f>
        <v/>
      </c>
      <c r="D27" s="17" t="str">
        <f aca="false">IF(AND(ISNUMBER(B27),ISNUMBER(C27),C27&gt;0),(B27-C27)/C27,"")</f>
        <v/>
      </c>
    </row>
    <row r="28" customFormat="false" ht="27.75" hidden="false" customHeight="true" outlineLevel="0" collapsed="false">
      <c r="A28" s="15" t="s">
        <v>45</v>
      </c>
      <c r="B28" s="19" t="n">
        <f aca="false">SUM(日次ダイジェスト!K2:K8)</f>
        <v>0</v>
      </c>
      <c r="C28" s="19" t="n">
        <f aca="false">SUM(日次ダイジェスト!K9:K15)</f>
        <v>0</v>
      </c>
      <c r="D28" s="17" t="str">
        <f aca="false">IF(AND(ISNUMBER(B28),ISNUMBER(C28),C28&gt;0),(B28-C28)/C28,"")</f>
        <v/>
      </c>
    </row>
    <row r="29" customFormat="false" ht="27.75" hidden="false" customHeight="true" outlineLevel="0" collapsed="false">
      <c r="A29" s="15" t="s">
        <v>46</v>
      </c>
      <c r="B29" s="19" t="str">
        <f aca="false">IFERROR(INDEX(ピラー別分析!A4:A8,MATCH(MAX(ピラー別分析!C4:C8),ピラー別分析!C4:C8,0)),"")</f>
        <v>共感・エンパワメント</v>
      </c>
      <c r="C29" s="19"/>
      <c r="D29" s="17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6"/>
    <col collapsed="false" customWidth="true" hidden="false" outlineLevel="0" max="4" min="4" style="1" width="40"/>
    <col collapsed="false" customWidth="true" hidden="false" outlineLevel="0" max="6" min="5" style="1" width="8"/>
    <col collapsed="false" customWidth="true" hidden="false" outlineLevel="0" max="8" min="7" style="1" width="14"/>
    <col collapsed="false" customWidth="true" hidden="false" outlineLevel="0" max="9" min="9" style="1" width="10"/>
    <col collapsed="false" customWidth="true" hidden="false" outlineLevel="0" max="11" min="10" style="1" width="8"/>
    <col collapsed="false" customWidth="true" hidden="false" outlineLevel="0" max="12" min="12" style="1" width="12"/>
    <col collapsed="false" customWidth="true" hidden="false" outlineLevel="0" max="13" min="13" style="1" width="10"/>
    <col collapsed="false" customWidth="true" hidden="false" outlineLevel="0" max="14" min="14" style="1" width="14"/>
    <col collapsed="false" customWidth="true" hidden="false" outlineLevel="0" max="15" min="15" style="1" width="12"/>
    <col collapsed="false" customWidth="true" hidden="false" outlineLevel="0" max="16" min="16" style="1" width="30"/>
  </cols>
  <sheetData>
    <row r="1" customFormat="false" ht="27.75" hidden="false" customHeight="true" outlineLevel="0" collapsed="false">
      <c r="A1" s="20" t="s">
        <v>47</v>
      </c>
      <c r="B1" s="20" t="s">
        <v>48</v>
      </c>
      <c r="C1" s="20" t="s">
        <v>49</v>
      </c>
      <c r="D1" s="20" t="s">
        <v>50</v>
      </c>
      <c r="E1" s="20" t="s">
        <v>51</v>
      </c>
      <c r="F1" s="21" t="s">
        <v>52</v>
      </c>
      <c r="G1" s="20" t="s">
        <v>53</v>
      </c>
      <c r="H1" s="20" t="s">
        <v>54</v>
      </c>
      <c r="I1" s="20" t="s">
        <v>55</v>
      </c>
      <c r="J1" s="21" t="s">
        <v>56</v>
      </c>
      <c r="K1" s="20" t="s">
        <v>57</v>
      </c>
      <c r="L1" s="20" t="s">
        <v>58</v>
      </c>
      <c r="M1" s="21" t="s">
        <v>59</v>
      </c>
      <c r="N1" s="21" t="s">
        <v>60</v>
      </c>
      <c r="O1" s="20" t="s">
        <v>61</v>
      </c>
      <c r="P1" s="20" t="s">
        <v>62</v>
      </c>
    </row>
    <row r="2" customFormat="false" ht="15" hidden="false" customHeight="true" outlineLevel="0" collapsed="false">
      <c r="A2" s="22" t="s">
        <v>2</v>
      </c>
      <c r="B2" s="23" t="s">
        <v>63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4" t="str">
        <f aca="false">IF(AND(ISNUMBER(H2),ISNUMBER(G2),G2&gt;0),H2/G2,"")</f>
        <v/>
      </c>
      <c r="N2" s="25" t="str">
        <f aca="false">IF(AND(ISNUMBER(G2),G2&gt;0),G2/IF(ISNUMBER(ダッシュボード!D12),ダッシュボード!D12,1),"")</f>
        <v/>
      </c>
      <c r="O2" s="26" t="str">
        <f aca="false">IF(ISNUMBER(G2),G2*1+IF(ISNUMBER(H2),H2,0)*5+IF(ISNUMBER(J2),J2,0)*10+IF(ISNUMBER(K2),K2,0)*3,"")</f>
        <v/>
      </c>
      <c r="P2" s="22"/>
    </row>
    <row r="3" customFormat="false" ht="15" hidden="false" customHeight="true" outlineLevel="0" collapsed="false">
      <c r="A3" s="22" t="s">
        <v>2</v>
      </c>
      <c r="B3" s="23" t="s">
        <v>64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4" t="str">
        <f aca="false">IF(AND(ISNUMBER(H3),ISNUMBER(G3),G3&gt;0),H3/G3,"")</f>
        <v/>
      </c>
      <c r="N3" s="25" t="str">
        <f aca="false">IF(AND(ISNUMBER(G3),G3&gt;0),G3/IF(ISNUMBER(ダッシュボード!D12),ダッシュボード!D12,1),"")</f>
        <v/>
      </c>
      <c r="O3" s="26" t="str">
        <f aca="false">IF(ISNUMBER(G3),G3*1+IF(ISNUMBER(H3),H3,0)*5+IF(ISNUMBER(J3),J3,0)*10+IF(ISNUMBER(K3),K3,0)*3,"")</f>
        <v/>
      </c>
      <c r="P3" s="22"/>
    </row>
    <row r="4" customFormat="false" ht="15" hidden="false" customHeight="true" outlineLevel="0" collapsed="false">
      <c r="A4" s="22" t="s">
        <v>2</v>
      </c>
      <c r="B4" s="23" t="s">
        <v>65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4" t="str">
        <f aca="false">IF(AND(ISNUMBER(H4),ISNUMBER(G4),G4&gt;0),H4/G4,"")</f>
        <v/>
      </c>
      <c r="N4" s="25" t="str">
        <f aca="false">IF(AND(ISNUMBER(G4),G4&gt;0),G4/IF(ISNUMBER(ダッシュボード!D12),ダッシュボード!D12,1),"")</f>
        <v/>
      </c>
      <c r="O4" s="26" t="str">
        <f aca="false">IF(ISNUMBER(G4),G4*1+IF(ISNUMBER(H4),H4,0)*5+IF(ISNUMBER(J4),J4,0)*10+IF(ISNUMBER(K4),K4,0)*3,"")</f>
        <v/>
      </c>
      <c r="P4" s="22"/>
    </row>
    <row r="5" customFormat="false" ht="15" hidden="false" customHeight="true" outlineLevel="0" collapsed="false">
      <c r="A5" s="22" t="s">
        <v>2</v>
      </c>
      <c r="B5" s="23" t="s">
        <v>66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4" t="str">
        <f aca="false">IF(AND(ISNUMBER(H5),ISNUMBER(G5),G5&gt;0),H5/G5,"")</f>
        <v/>
      </c>
      <c r="N5" s="25" t="str">
        <f aca="false">IF(AND(ISNUMBER(G5),G5&gt;0),G5/IF(ISNUMBER(ダッシュボード!D12),ダッシュボード!D12,1),"")</f>
        <v/>
      </c>
      <c r="O5" s="26" t="str">
        <f aca="false">IF(ISNUMBER(G5),G5*1+IF(ISNUMBER(H5),H5,0)*5+IF(ISNUMBER(J5),J5,0)*10+IF(ISNUMBER(K5),K5,0)*3,"")</f>
        <v/>
      </c>
      <c r="P5" s="22"/>
    </row>
    <row r="6" customFormat="false" ht="15" hidden="false" customHeight="true" outlineLevel="0" collapsed="false">
      <c r="A6" s="22" t="s">
        <v>2</v>
      </c>
      <c r="B6" s="23" t="s">
        <v>67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4" t="str">
        <f aca="false">IF(AND(ISNUMBER(H6),ISNUMBER(G6),G6&gt;0),H6/G6,"")</f>
        <v/>
      </c>
      <c r="N6" s="25" t="str">
        <f aca="false">IF(AND(ISNUMBER(G6),G6&gt;0),G6/IF(ISNUMBER(ダッシュボード!D12),ダッシュボード!D12,1),"")</f>
        <v/>
      </c>
      <c r="O6" s="26" t="str">
        <f aca="false">IF(ISNUMBER(G6),G6*1+IF(ISNUMBER(H6),H6,0)*5+IF(ISNUMBER(J6),J6,0)*10+IF(ISNUMBER(K6),K6,0)*3,"")</f>
        <v/>
      </c>
      <c r="P6" s="22"/>
    </row>
    <row r="7" customFormat="false" ht="15" hidden="false" customHeight="true" outlineLevel="0" collapsed="false">
      <c r="A7" s="27" t="s">
        <v>68</v>
      </c>
      <c r="B7" s="28" t="s">
        <v>63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9" t="str">
        <f aca="false">IF(AND(ISNUMBER(H7),ISNUMBER(G7),G7&gt;0),H7/G7,"")</f>
        <v/>
      </c>
      <c r="N7" s="30" t="str">
        <f aca="false">IF(AND(ISNUMBER(G7),G7&gt;0),G7/IF(ISNUMBER(ダッシュボード!D12),ダッシュボード!D12,1),"")</f>
        <v/>
      </c>
      <c r="O7" s="31" t="str">
        <f aca="false">IF(ISNUMBER(G7),G7*1+IF(ISNUMBER(H7),H7,0)*5+IF(ISNUMBER(J7),J7,0)*10+IF(ISNUMBER(K7),K7,0)*3,"")</f>
        <v/>
      </c>
      <c r="P7" s="27"/>
    </row>
    <row r="8" customFormat="false" ht="15" hidden="false" customHeight="true" outlineLevel="0" collapsed="false">
      <c r="A8" s="27" t="s">
        <v>68</v>
      </c>
      <c r="B8" s="28" t="s">
        <v>64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9" t="str">
        <f aca="false">IF(AND(ISNUMBER(H8),ISNUMBER(G8),G8&gt;0),H8/G8,"")</f>
        <v/>
      </c>
      <c r="N8" s="30" t="str">
        <f aca="false">IF(AND(ISNUMBER(G8),G8&gt;0),G8/IF(ISNUMBER(ダッシュボード!D12),ダッシュボード!D12,1),"")</f>
        <v/>
      </c>
      <c r="O8" s="31" t="str">
        <f aca="false">IF(ISNUMBER(G8),G8*1+IF(ISNUMBER(H8),H8,0)*5+IF(ISNUMBER(J8),J8,0)*10+IF(ISNUMBER(K8),K8,0)*3,"")</f>
        <v/>
      </c>
      <c r="P8" s="27"/>
    </row>
    <row r="9" customFormat="false" ht="15" hidden="false" customHeight="true" outlineLevel="0" collapsed="false">
      <c r="A9" s="27" t="s">
        <v>68</v>
      </c>
      <c r="B9" s="28" t="s">
        <v>65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9" t="str">
        <f aca="false">IF(AND(ISNUMBER(H9),ISNUMBER(G9),G9&gt;0),H9/G9,"")</f>
        <v/>
      </c>
      <c r="N9" s="30" t="str">
        <f aca="false">IF(AND(ISNUMBER(G9),G9&gt;0),G9/IF(ISNUMBER(ダッシュボード!D12),ダッシュボード!D12,1),"")</f>
        <v/>
      </c>
      <c r="O9" s="31" t="str">
        <f aca="false">IF(ISNUMBER(G9),G9*1+IF(ISNUMBER(H9),H9,0)*5+IF(ISNUMBER(J9),J9,0)*10+IF(ISNUMBER(K9),K9,0)*3,"")</f>
        <v/>
      </c>
      <c r="P9" s="27"/>
    </row>
    <row r="10" customFormat="false" ht="15" hidden="false" customHeight="true" outlineLevel="0" collapsed="false">
      <c r="A10" s="27" t="s">
        <v>68</v>
      </c>
      <c r="B10" s="28" t="s">
        <v>66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9" t="str">
        <f aca="false">IF(AND(ISNUMBER(H10),ISNUMBER(G10),G10&gt;0),H10/G10,"")</f>
        <v/>
      </c>
      <c r="N10" s="30" t="str">
        <f aca="false">IF(AND(ISNUMBER(G10),G10&gt;0),G10/IF(ISNUMBER(ダッシュボード!D12),ダッシュボード!D12,1),"")</f>
        <v/>
      </c>
      <c r="O10" s="31" t="str">
        <f aca="false">IF(ISNUMBER(G10),G10*1+IF(ISNUMBER(H10),H10,0)*5+IF(ISNUMBER(J10),J10,0)*10+IF(ISNUMBER(K10),K10,0)*3,"")</f>
        <v/>
      </c>
      <c r="P10" s="27"/>
    </row>
    <row r="11" customFormat="false" ht="15" hidden="false" customHeight="true" outlineLevel="0" collapsed="false">
      <c r="A11" s="27" t="s">
        <v>68</v>
      </c>
      <c r="B11" s="28" t="s">
        <v>67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9" t="str">
        <f aca="false">IF(AND(ISNUMBER(H11),ISNUMBER(G11),G11&gt;0),H11/G11,"")</f>
        <v/>
      </c>
      <c r="N11" s="30" t="str">
        <f aca="false">IF(AND(ISNUMBER(G11),G11&gt;0),G11/IF(ISNUMBER(ダッシュボード!D12),ダッシュボード!D12,1),"")</f>
        <v/>
      </c>
      <c r="O11" s="31" t="str">
        <f aca="false">IF(ISNUMBER(G11),G11*1+IF(ISNUMBER(H11),H11,0)*5+IF(ISNUMBER(J11),J11,0)*10+IF(ISNUMBER(K11),K11,0)*3,"")</f>
        <v/>
      </c>
      <c r="P11" s="27"/>
    </row>
    <row r="12" customFormat="false" ht="15" hidden="false" customHeight="true" outlineLevel="0" collapsed="false">
      <c r="A12" s="22" t="s">
        <v>69</v>
      </c>
      <c r="B12" s="23" t="s">
        <v>63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4" t="str">
        <f aca="false">IF(AND(ISNUMBER(H12),ISNUMBER(G12),G12&gt;0),H12/G12,"")</f>
        <v/>
      </c>
      <c r="N12" s="25" t="str">
        <f aca="false">IF(AND(ISNUMBER(G12),G12&gt;0),G12/IF(ISNUMBER(ダッシュボード!D12),ダッシュボード!D12,1),"")</f>
        <v/>
      </c>
      <c r="O12" s="26" t="str">
        <f aca="false">IF(ISNUMBER(G12),G12*1+IF(ISNUMBER(H12),H12,0)*5+IF(ISNUMBER(J12),J12,0)*10+IF(ISNUMBER(K12),K12,0)*3,"")</f>
        <v/>
      </c>
      <c r="P12" s="22"/>
    </row>
    <row r="13" customFormat="false" ht="15" hidden="false" customHeight="true" outlineLevel="0" collapsed="false">
      <c r="A13" s="22" t="s">
        <v>69</v>
      </c>
      <c r="B13" s="23" t="s">
        <v>64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4" t="str">
        <f aca="false">IF(AND(ISNUMBER(H13),ISNUMBER(G13),G13&gt;0),H13/G13,"")</f>
        <v/>
      </c>
      <c r="N13" s="25" t="str">
        <f aca="false">IF(AND(ISNUMBER(G13),G13&gt;0),G13/IF(ISNUMBER(ダッシュボード!D12),ダッシュボード!D12,1),"")</f>
        <v/>
      </c>
      <c r="O13" s="26" t="str">
        <f aca="false">IF(ISNUMBER(G13),G13*1+IF(ISNUMBER(H13),H13,0)*5+IF(ISNUMBER(J13),J13,0)*10+IF(ISNUMBER(K13),K13,0)*3,"")</f>
        <v/>
      </c>
      <c r="P13" s="22"/>
    </row>
    <row r="14" customFormat="false" ht="15" hidden="false" customHeight="true" outlineLevel="0" collapsed="false">
      <c r="A14" s="22" t="s">
        <v>69</v>
      </c>
      <c r="B14" s="23" t="s">
        <v>65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4" t="str">
        <f aca="false">IF(AND(ISNUMBER(H14),ISNUMBER(G14),G14&gt;0),H14/G14,"")</f>
        <v/>
      </c>
      <c r="N14" s="25" t="str">
        <f aca="false">IF(AND(ISNUMBER(G14),G14&gt;0),G14/IF(ISNUMBER(ダッシュボード!D12),ダッシュボード!D12,1),"")</f>
        <v/>
      </c>
      <c r="O14" s="26" t="str">
        <f aca="false">IF(ISNUMBER(G14),G14*1+IF(ISNUMBER(H14),H14,0)*5+IF(ISNUMBER(J14),J14,0)*10+IF(ISNUMBER(K14),K14,0)*3,"")</f>
        <v/>
      </c>
      <c r="P14" s="22"/>
    </row>
    <row r="15" customFormat="false" ht="15" hidden="false" customHeight="true" outlineLevel="0" collapsed="false">
      <c r="A15" s="22" t="s">
        <v>69</v>
      </c>
      <c r="B15" s="23" t="s">
        <v>66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4" t="str">
        <f aca="false">IF(AND(ISNUMBER(H15),ISNUMBER(G15),G15&gt;0),H15/G15,"")</f>
        <v/>
      </c>
      <c r="N15" s="25" t="str">
        <f aca="false">IF(AND(ISNUMBER(G15),G15&gt;0),G15/IF(ISNUMBER(ダッシュボード!D12),ダッシュボード!D12,1),"")</f>
        <v/>
      </c>
      <c r="O15" s="26" t="str">
        <f aca="false">IF(ISNUMBER(G15),G15*1+IF(ISNUMBER(H15),H15,0)*5+IF(ISNUMBER(J15),J15,0)*10+IF(ISNUMBER(K15),K15,0)*3,"")</f>
        <v/>
      </c>
      <c r="P15" s="22"/>
    </row>
    <row r="16" customFormat="false" ht="15" hidden="false" customHeight="true" outlineLevel="0" collapsed="false">
      <c r="A16" s="22" t="s">
        <v>69</v>
      </c>
      <c r="B16" s="23" t="s">
        <v>67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4" t="str">
        <f aca="false">IF(AND(ISNUMBER(H16),ISNUMBER(G16),G16&gt;0),H16/G16,"")</f>
        <v/>
      </c>
      <c r="N16" s="25" t="str">
        <f aca="false">IF(AND(ISNUMBER(G16),G16&gt;0),G16/IF(ISNUMBER(ダッシュボード!D12),ダッシュボード!D12,1),"")</f>
        <v/>
      </c>
      <c r="O16" s="26" t="str">
        <f aca="false">IF(ISNUMBER(G16),G16*1+IF(ISNUMBER(H16),H16,0)*5+IF(ISNUMBER(J16),J16,0)*10+IF(ISNUMBER(K16),K16,0)*3,"")</f>
        <v/>
      </c>
      <c r="P16" s="22"/>
    </row>
    <row r="17" customFormat="false" ht="15" hidden="false" customHeight="true" outlineLevel="0" collapsed="false">
      <c r="A17" s="27" t="s">
        <v>70</v>
      </c>
      <c r="B17" s="28" t="s">
        <v>63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9" t="str">
        <f aca="false">IF(AND(ISNUMBER(H17),ISNUMBER(G17),G17&gt;0),H17/G17,"")</f>
        <v/>
      </c>
      <c r="N17" s="30" t="str">
        <f aca="false">IF(AND(ISNUMBER(G17),G17&gt;0),G17/IF(ISNUMBER(ダッシュボード!D12),ダッシュボード!D12,1),"")</f>
        <v/>
      </c>
      <c r="O17" s="31" t="str">
        <f aca="false">IF(ISNUMBER(G17),G17*1+IF(ISNUMBER(H17),H17,0)*5+IF(ISNUMBER(J17),J17,0)*10+IF(ISNUMBER(K17),K17,0)*3,"")</f>
        <v/>
      </c>
      <c r="P17" s="27"/>
    </row>
    <row r="18" customFormat="false" ht="15" hidden="false" customHeight="true" outlineLevel="0" collapsed="false">
      <c r="A18" s="27" t="s">
        <v>70</v>
      </c>
      <c r="B18" s="28" t="s">
        <v>64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9" t="str">
        <f aca="false">IF(AND(ISNUMBER(H18),ISNUMBER(G18),G18&gt;0),H18/G18,"")</f>
        <v/>
      </c>
      <c r="N18" s="30" t="str">
        <f aca="false">IF(AND(ISNUMBER(G18),G18&gt;0),G18/IF(ISNUMBER(ダッシュボード!D12),ダッシュボード!D12,1),"")</f>
        <v/>
      </c>
      <c r="O18" s="31" t="str">
        <f aca="false">IF(ISNUMBER(G18),G18*1+IF(ISNUMBER(H18),H18,0)*5+IF(ISNUMBER(J18),J18,0)*10+IF(ISNUMBER(K18),K18,0)*3,"")</f>
        <v/>
      </c>
      <c r="P18" s="27"/>
    </row>
    <row r="19" customFormat="false" ht="15" hidden="false" customHeight="true" outlineLevel="0" collapsed="false">
      <c r="A19" s="27" t="s">
        <v>70</v>
      </c>
      <c r="B19" s="28" t="s">
        <v>65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9" t="str">
        <f aca="false">IF(AND(ISNUMBER(H19),ISNUMBER(G19),G19&gt;0),H19/G19,"")</f>
        <v/>
      </c>
      <c r="N19" s="30" t="str">
        <f aca="false">IF(AND(ISNUMBER(G19),G19&gt;0),G19/IF(ISNUMBER(ダッシュボード!D12),ダッシュボード!D12,1),"")</f>
        <v/>
      </c>
      <c r="O19" s="31" t="str">
        <f aca="false">IF(ISNUMBER(G19),G19*1+IF(ISNUMBER(H19),H19,0)*5+IF(ISNUMBER(J19),J19,0)*10+IF(ISNUMBER(K19),K19,0)*3,"")</f>
        <v/>
      </c>
      <c r="P19" s="27"/>
    </row>
    <row r="20" customFormat="false" ht="15" hidden="false" customHeight="true" outlineLevel="0" collapsed="false">
      <c r="A20" s="27" t="s">
        <v>70</v>
      </c>
      <c r="B20" s="28" t="s">
        <v>66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9" t="str">
        <f aca="false">IF(AND(ISNUMBER(H20),ISNUMBER(G20),G20&gt;0),H20/G20,"")</f>
        <v/>
      </c>
      <c r="N20" s="30" t="str">
        <f aca="false">IF(AND(ISNUMBER(G20),G20&gt;0),G20/IF(ISNUMBER(ダッシュボード!D12),ダッシュボード!D12,1),"")</f>
        <v/>
      </c>
      <c r="O20" s="31" t="str">
        <f aca="false">IF(ISNUMBER(G20),G20*1+IF(ISNUMBER(H20),H20,0)*5+IF(ISNUMBER(J20),J20,0)*10+IF(ISNUMBER(K20),K20,0)*3,"")</f>
        <v/>
      </c>
      <c r="P20" s="27"/>
    </row>
    <row r="21" customFormat="false" ht="15" hidden="false" customHeight="true" outlineLevel="0" collapsed="false">
      <c r="A21" s="27" t="s">
        <v>70</v>
      </c>
      <c r="B21" s="28" t="s">
        <v>67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9" t="str">
        <f aca="false">IF(AND(ISNUMBER(H21),ISNUMBER(G21),G21&gt;0),H21/G21,"")</f>
        <v/>
      </c>
      <c r="N21" s="30" t="str">
        <f aca="false">IF(AND(ISNUMBER(G21),G21&gt;0),G21/IF(ISNUMBER(ダッシュボード!D12),ダッシュボード!D12,1),"")</f>
        <v/>
      </c>
      <c r="O21" s="31" t="str">
        <f aca="false">IF(ISNUMBER(G21),G21*1+IF(ISNUMBER(H21),H21,0)*5+IF(ISNUMBER(J21),J21,0)*10+IF(ISNUMBER(K21),K21,0)*3,"")</f>
        <v/>
      </c>
      <c r="P21" s="27"/>
    </row>
    <row r="22" customFormat="false" ht="15" hidden="false" customHeight="true" outlineLevel="0" collapsed="false">
      <c r="A22" s="22" t="s">
        <v>71</v>
      </c>
      <c r="B22" s="23" t="s">
        <v>63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4" t="str">
        <f aca="false">IF(AND(ISNUMBER(H22),ISNUMBER(G22),G22&gt;0),H22/G22,"")</f>
        <v/>
      </c>
      <c r="N22" s="25" t="str">
        <f aca="false">IF(AND(ISNUMBER(G22),G22&gt;0),G22/IF(ISNUMBER(ダッシュボード!D12),ダッシュボード!D12,1),"")</f>
        <v/>
      </c>
      <c r="O22" s="26" t="str">
        <f aca="false">IF(ISNUMBER(G22),G22*1+IF(ISNUMBER(H22),H22,0)*5+IF(ISNUMBER(J22),J22,0)*10+IF(ISNUMBER(K22),K22,0)*3,"")</f>
        <v/>
      </c>
      <c r="P22" s="22"/>
    </row>
    <row r="23" customFormat="false" ht="15" hidden="false" customHeight="true" outlineLevel="0" collapsed="false">
      <c r="A23" s="22" t="s">
        <v>71</v>
      </c>
      <c r="B23" s="23" t="s">
        <v>64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4" t="str">
        <f aca="false">IF(AND(ISNUMBER(H23),ISNUMBER(G23),G23&gt;0),H23/G23,"")</f>
        <v/>
      </c>
      <c r="N23" s="25" t="str">
        <f aca="false">IF(AND(ISNUMBER(G23),G23&gt;0),G23/IF(ISNUMBER(ダッシュボード!D12),ダッシュボード!D12,1),"")</f>
        <v/>
      </c>
      <c r="O23" s="26" t="str">
        <f aca="false">IF(ISNUMBER(G23),G23*1+IF(ISNUMBER(H23),H23,0)*5+IF(ISNUMBER(J23),J23,0)*10+IF(ISNUMBER(K23),K23,0)*3,"")</f>
        <v/>
      </c>
      <c r="P23" s="22"/>
    </row>
    <row r="24" customFormat="false" ht="15" hidden="false" customHeight="true" outlineLevel="0" collapsed="false">
      <c r="A24" s="22" t="s">
        <v>71</v>
      </c>
      <c r="B24" s="23" t="s">
        <v>65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4" t="str">
        <f aca="false">IF(AND(ISNUMBER(H24),ISNUMBER(G24),G24&gt;0),H24/G24,"")</f>
        <v/>
      </c>
      <c r="N24" s="25" t="str">
        <f aca="false">IF(AND(ISNUMBER(G24),G24&gt;0),G24/IF(ISNUMBER(ダッシュボード!D12),ダッシュボード!D12,1),"")</f>
        <v/>
      </c>
      <c r="O24" s="26" t="str">
        <f aca="false">IF(ISNUMBER(G24),G24*1+IF(ISNUMBER(H24),H24,0)*5+IF(ISNUMBER(J24),J24,0)*10+IF(ISNUMBER(K24),K24,0)*3,"")</f>
        <v/>
      </c>
      <c r="P24" s="22"/>
    </row>
    <row r="25" customFormat="false" ht="15" hidden="false" customHeight="true" outlineLevel="0" collapsed="false">
      <c r="A25" s="22" t="s">
        <v>71</v>
      </c>
      <c r="B25" s="23" t="s">
        <v>66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4" t="str">
        <f aca="false">IF(AND(ISNUMBER(H25),ISNUMBER(G25),G25&gt;0),H25/G25,"")</f>
        <v/>
      </c>
      <c r="N25" s="25" t="str">
        <f aca="false">IF(AND(ISNUMBER(G25),G25&gt;0),G25/IF(ISNUMBER(ダッシュボード!D12),ダッシュボード!D12,1),"")</f>
        <v/>
      </c>
      <c r="O25" s="26" t="str">
        <f aca="false">IF(ISNUMBER(G25),G25*1+IF(ISNUMBER(H25),H25,0)*5+IF(ISNUMBER(J25),J25,0)*10+IF(ISNUMBER(K25),K25,0)*3,"")</f>
        <v/>
      </c>
      <c r="P25" s="22"/>
    </row>
    <row r="26" customFormat="false" ht="15" hidden="false" customHeight="true" outlineLevel="0" collapsed="false">
      <c r="A26" s="22" t="s">
        <v>71</v>
      </c>
      <c r="B26" s="23" t="s">
        <v>67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4" t="str">
        <f aca="false">IF(AND(ISNUMBER(H26),ISNUMBER(G26),G26&gt;0),H26/G26,"")</f>
        <v/>
      </c>
      <c r="N26" s="25" t="str">
        <f aca="false">IF(AND(ISNUMBER(G26),G26&gt;0),G26/IF(ISNUMBER(ダッシュボード!D12),ダッシュボード!D12,1),"")</f>
        <v/>
      </c>
      <c r="O26" s="26" t="str">
        <f aca="false">IF(ISNUMBER(G26),G26*1+IF(ISNUMBER(H26),H26,0)*5+IF(ISNUMBER(J26),J26,0)*10+IF(ISNUMBER(K26),K26,0)*3,"")</f>
        <v/>
      </c>
      <c r="P26" s="22"/>
    </row>
    <row r="27" customFormat="false" ht="15" hidden="false" customHeight="true" outlineLevel="0" collapsed="false">
      <c r="A27" s="27" t="s">
        <v>72</v>
      </c>
      <c r="B27" s="28" t="s">
        <v>63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9" t="str">
        <f aca="false">IF(AND(ISNUMBER(H27),ISNUMBER(G27),G27&gt;0),H27/G27,"")</f>
        <v/>
      </c>
      <c r="N27" s="30" t="str">
        <f aca="false">IF(AND(ISNUMBER(G27),G27&gt;0),G27/IF(ISNUMBER(ダッシュボード!D12),ダッシュボード!D12,1),"")</f>
        <v/>
      </c>
      <c r="O27" s="31" t="str">
        <f aca="false">IF(ISNUMBER(G27),G27*1+IF(ISNUMBER(H27),H27,0)*5+IF(ISNUMBER(J27),J27,0)*10+IF(ISNUMBER(K27),K27,0)*3,"")</f>
        <v/>
      </c>
      <c r="P27" s="27"/>
    </row>
    <row r="28" customFormat="false" ht="15" hidden="false" customHeight="true" outlineLevel="0" collapsed="false">
      <c r="A28" s="27" t="s">
        <v>72</v>
      </c>
      <c r="B28" s="28" t="s">
        <v>64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9" t="str">
        <f aca="false">IF(AND(ISNUMBER(H28),ISNUMBER(G28),G28&gt;0),H28/G28,"")</f>
        <v/>
      </c>
      <c r="N28" s="30" t="str">
        <f aca="false">IF(AND(ISNUMBER(G28),G28&gt;0),G28/IF(ISNUMBER(ダッシュボード!D12),ダッシュボード!D12,1),"")</f>
        <v/>
      </c>
      <c r="O28" s="31" t="str">
        <f aca="false">IF(ISNUMBER(G28),G28*1+IF(ISNUMBER(H28),H28,0)*5+IF(ISNUMBER(J28),J28,0)*10+IF(ISNUMBER(K28),K28,0)*3,"")</f>
        <v/>
      </c>
      <c r="P28" s="27"/>
    </row>
    <row r="29" customFormat="false" ht="15" hidden="false" customHeight="true" outlineLevel="0" collapsed="false">
      <c r="A29" s="27" t="s">
        <v>72</v>
      </c>
      <c r="B29" s="28" t="s">
        <v>65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9" t="str">
        <f aca="false">IF(AND(ISNUMBER(H29),ISNUMBER(G29),G29&gt;0),H29/G29,"")</f>
        <v/>
      </c>
      <c r="N29" s="30" t="str">
        <f aca="false">IF(AND(ISNUMBER(G29),G29&gt;0),G29/IF(ISNUMBER(ダッシュボード!D12),ダッシュボード!D12,1),"")</f>
        <v/>
      </c>
      <c r="O29" s="31" t="str">
        <f aca="false">IF(ISNUMBER(G29),G29*1+IF(ISNUMBER(H29),H29,0)*5+IF(ISNUMBER(J29),J29,0)*10+IF(ISNUMBER(K29),K29,0)*3,"")</f>
        <v/>
      </c>
      <c r="P29" s="27"/>
    </row>
    <row r="30" customFormat="false" ht="15" hidden="false" customHeight="true" outlineLevel="0" collapsed="false">
      <c r="A30" s="27" t="s">
        <v>72</v>
      </c>
      <c r="B30" s="28" t="s">
        <v>66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9" t="str">
        <f aca="false">IF(AND(ISNUMBER(H30),ISNUMBER(G30),G30&gt;0),H30/G30,"")</f>
        <v/>
      </c>
      <c r="N30" s="30" t="str">
        <f aca="false">IF(AND(ISNUMBER(G30),G30&gt;0),G30/IF(ISNUMBER(ダッシュボード!D12),ダッシュボード!D12,1),"")</f>
        <v/>
      </c>
      <c r="O30" s="31" t="str">
        <f aca="false">IF(ISNUMBER(G30),G30*1+IF(ISNUMBER(H30),H30,0)*5+IF(ISNUMBER(J30),J30,0)*10+IF(ISNUMBER(K30),K30,0)*3,"")</f>
        <v/>
      </c>
      <c r="P30" s="27"/>
    </row>
    <row r="31" customFormat="false" ht="15" hidden="false" customHeight="true" outlineLevel="0" collapsed="false">
      <c r="A31" s="27" t="s">
        <v>72</v>
      </c>
      <c r="B31" s="28" t="s">
        <v>67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9" t="str">
        <f aca="false">IF(AND(ISNUMBER(H31),ISNUMBER(G31),G31&gt;0),H31/G31,"")</f>
        <v/>
      </c>
      <c r="N31" s="30" t="str">
        <f aca="false">IF(AND(ISNUMBER(G31),G31&gt;0),G31/IF(ISNUMBER(ダッシュボード!D12),ダッシュボード!D12,1),"")</f>
        <v/>
      </c>
      <c r="O31" s="31" t="str">
        <f aca="false">IF(ISNUMBER(G31),G31*1+IF(ISNUMBER(H31),H31,0)*5+IF(ISNUMBER(J31),J31,0)*10+IF(ISNUMBER(K31),K31,0)*3,"")</f>
        <v/>
      </c>
      <c r="P31" s="27"/>
    </row>
    <row r="32" customFormat="false" ht="15" hidden="false" customHeight="true" outlineLevel="0" collapsed="false">
      <c r="A32" s="22" t="s">
        <v>73</v>
      </c>
      <c r="B32" s="23" t="s">
        <v>63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4" t="str">
        <f aca="false">IF(AND(ISNUMBER(H32),ISNUMBER(G32),G32&gt;0),H32/G32,"")</f>
        <v/>
      </c>
      <c r="N32" s="25" t="str">
        <f aca="false">IF(AND(ISNUMBER(G32),G32&gt;0),G32/IF(ISNUMBER(ダッシュボード!D12),ダッシュボード!D12,1),"")</f>
        <v/>
      </c>
      <c r="O32" s="26" t="str">
        <f aca="false">IF(ISNUMBER(G32),G32*1+IF(ISNUMBER(H32),H32,0)*5+IF(ISNUMBER(J32),J32,0)*10+IF(ISNUMBER(K32),K32,0)*3,"")</f>
        <v/>
      </c>
      <c r="P32" s="22"/>
    </row>
    <row r="33" customFormat="false" ht="15" hidden="false" customHeight="true" outlineLevel="0" collapsed="false">
      <c r="A33" s="22" t="s">
        <v>73</v>
      </c>
      <c r="B33" s="23" t="s">
        <v>64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4" t="str">
        <f aca="false">IF(AND(ISNUMBER(H33),ISNUMBER(G33),G33&gt;0),H33/G33,"")</f>
        <v/>
      </c>
      <c r="N33" s="25" t="str">
        <f aca="false">IF(AND(ISNUMBER(G33),G33&gt;0),G33/IF(ISNUMBER(ダッシュボード!D12),ダッシュボード!D12,1),"")</f>
        <v/>
      </c>
      <c r="O33" s="26" t="str">
        <f aca="false">IF(ISNUMBER(G33),G33*1+IF(ISNUMBER(H33),H33,0)*5+IF(ISNUMBER(J33),J33,0)*10+IF(ISNUMBER(K33),K33,0)*3,"")</f>
        <v/>
      </c>
      <c r="P33" s="22"/>
    </row>
    <row r="34" customFormat="false" ht="15" hidden="false" customHeight="true" outlineLevel="0" collapsed="false">
      <c r="A34" s="22" t="s">
        <v>73</v>
      </c>
      <c r="B34" s="23" t="s">
        <v>65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4" t="str">
        <f aca="false">IF(AND(ISNUMBER(H34),ISNUMBER(G34),G34&gt;0),H34/G34,"")</f>
        <v/>
      </c>
      <c r="N34" s="25" t="str">
        <f aca="false">IF(AND(ISNUMBER(G34),G34&gt;0),G34/IF(ISNUMBER(ダッシュボード!D12),ダッシュボード!D12,1),"")</f>
        <v/>
      </c>
      <c r="O34" s="26" t="str">
        <f aca="false">IF(ISNUMBER(G34),G34*1+IF(ISNUMBER(H34),H34,0)*5+IF(ISNUMBER(J34),J34,0)*10+IF(ISNUMBER(K34),K34,0)*3,"")</f>
        <v/>
      </c>
      <c r="P34" s="22"/>
    </row>
    <row r="35" customFormat="false" ht="15" hidden="false" customHeight="true" outlineLevel="0" collapsed="false">
      <c r="A35" s="22" t="s">
        <v>73</v>
      </c>
      <c r="B35" s="23" t="s">
        <v>66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4" t="str">
        <f aca="false">IF(AND(ISNUMBER(H35),ISNUMBER(G35),G35&gt;0),H35/G35,"")</f>
        <v/>
      </c>
      <c r="N35" s="25" t="str">
        <f aca="false">IF(AND(ISNUMBER(G35),G35&gt;0),G35/IF(ISNUMBER(ダッシュボード!D12),ダッシュボード!D12,1),"")</f>
        <v/>
      </c>
      <c r="O35" s="26" t="str">
        <f aca="false">IF(ISNUMBER(G35),G35*1+IF(ISNUMBER(H35),H35,0)*5+IF(ISNUMBER(J35),J35,0)*10+IF(ISNUMBER(K35),K35,0)*3,"")</f>
        <v/>
      </c>
      <c r="P35" s="22"/>
    </row>
    <row r="36" customFormat="false" ht="15" hidden="false" customHeight="true" outlineLevel="0" collapsed="false">
      <c r="A36" s="22" t="s">
        <v>73</v>
      </c>
      <c r="B36" s="23" t="s">
        <v>67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4" t="str">
        <f aca="false">IF(AND(ISNUMBER(H36),ISNUMBER(G36),G36&gt;0),H36/G36,"")</f>
        <v/>
      </c>
      <c r="N36" s="25" t="str">
        <f aca="false">IF(AND(ISNUMBER(G36),G36&gt;0),G36/IF(ISNUMBER(ダッシュボード!D12),ダッシュボード!D12,1),"")</f>
        <v/>
      </c>
      <c r="O36" s="26" t="str">
        <f aca="false">IF(ISNUMBER(G36),G36*1+IF(ISNUMBER(H36),H36,0)*5+IF(ISNUMBER(J36),J36,0)*10+IF(ISNUMBER(K36),K36,0)*3,"")</f>
        <v/>
      </c>
      <c r="P36" s="22"/>
    </row>
    <row r="37" customFormat="false" ht="15" hidden="false" customHeight="true" outlineLevel="0" collapsed="false">
      <c r="A37" s="27" t="s">
        <v>74</v>
      </c>
      <c r="B37" s="28" t="s">
        <v>63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9" t="str">
        <f aca="false">IF(AND(ISNUMBER(H37),ISNUMBER(G37),G37&gt;0),H37/G37,"")</f>
        <v/>
      </c>
      <c r="N37" s="30" t="str">
        <f aca="false">IF(AND(ISNUMBER(G37),G37&gt;0),G37/IF(ISNUMBER(ダッシュボード!D12),ダッシュボード!D12,1),"")</f>
        <v/>
      </c>
      <c r="O37" s="31" t="str">
        <f aca="false">IF(ISNUMBER(G37),G37*1+IF(ISNUMBER(H37),H37,0)*5+IF(ISNUMBER(J37),J37,0)*10+IF(ISNUMBER(K37),K37,0)*3,"")</f>
        <v/>
      </c>
      <c r="P37" s="27"/>
    </row>
    <row r="38" customFormat="false" ht="15" hidden="false" customHeight="true" outlineLevel="0" collapsed="false">
      <c r="A38" s="27" t="s">
        <v>74</v>
      </c>
      <c r="B38" s="28" t="s">
        <v>64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9" t="str">
        <f aca="false">IF(AND(ISNUMBER(H38),ISNUMBER(G38),G38&gt;0),H38/G38,"")</f>
        <v/>
      </c>
      <c r="N38" s="30" t="str">
        <f aca="false">IF(AND(ISNUMBER(G38),G38&gt;0),G38/IF(ISNUMBER(ダッシュボード!D12),ダッシュボード!D12,1),"")</f>
        <v/>
      </c>
      <c r="O38" s="31" t="str">
        <f aca="false">IF(ISNUMBER(G38),G38*1+IF(ISNUMBER(H38),H38,0)*5+IF(ISNUMBER(J38),J38,0)*10+IF(ISNUMBER(K38),K38,0)*3,"")</f>
        <v/>
      </c>
      <c r="P38" s="27"/>
    </row>
    <row r="39" customFormat="false" ht="15" hidden="false" customHeight="true" outlineLevel="0" collapsed="false">
      <c r="A39" s="27" t="s">
        <v>74</v>
      </c>
      <c r="B39" s="28" t="s">
        <v>65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9" t="str">
        <f aca="false">IF(AND(ISNUMBER(H39),ISNUMBER(G39),G39&gt;0),H39/G39,"")</f>
        <v/>
      </c>
      <c r="N39" s="30" t="str">
        <f aca="false">IF(AND(ISNUMBER(G39),G39&gt;0),G39/IF(ISNUMBER(ダッシュボード!D12),ダッシュボード!D12,1),"")</f>
        <v/>
      </c>
      <c r="O39" s="31" t="str">
        <f aca="false">IF(ISNUMBER(G39),G39*1+IF(ISNUMBER(H39),H39,0)*5+IF(ISNUMBER(J39),J39,0)*10+IF(ISNUMBER(K39),K39,0)*3,"")</f>
        <v/>
      </c>
      <c r="P39" s="27"/>
    </row>
    <row r="40" customFormat="false" ht="15" hidden="false" customHeight="true" outlineLevel="0" collapsed="false">
      <c r="A40" s="27" t="s">
        <v>74</v>
      </c>
      <c r="B40" s="28" t="s">
        <v>66</v>
      </c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9" t="str">
        <f aca="false">IF(AND(ISNUMBER(H40),ISNUMBER(G40),G40&gt;0),H40/G40,"")</f>
        <v/>
      </c>
      <c r="N40" s="30" t="str">
        <f aca="false">IF(AND(ISNUMBER(G40),G40&gt;0),G40/IF(ISNUMBER(ダッシュボード!D12),ダッシュボード!D12,1),"")</f>
        <v/>
      </c>
      <c r="O40" s="31" t="str">
        <f aca="false">IF(ISNUMBER(G40),G40*1+IF(ISNUMBER(H40),H40,0)*5+IF(ISNUMBER(J40),J40,0)*10+IF(ISNUMBER(K40),K40,0)*3,"")</f>
        <v/>
      </c>
      <c r="P40" s="27"/>
    </row>
    <row r="41" customFormat="false" ht="15" hidden="false" customHeight="true" outlineLevel="0" collapsed="false">
      <c r="A41" s="27" t="s">
        <v>74</v>
      </c>
      <c r="B41" s="28" t="s">
        <v>67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9" t="str">
        <f aca="false">IF(AND(ISNUMBER(H41),ISNUMBER(G41),G41&gt;0),H41/G41,"")</f>
        <v/>
      </c>
      <c r="N41" s="30" t="str">
        <f aca="false">IF(AND(ISNUMBER(G41),G41&gt;0),G41/IF(ISNUMBER(ダッシュボード!D12),ダッシュボード!D12,1),"")</f>
        <v/>
      </c>
      <c r="O41" s="31" t="str">
        <f aca="false">IF(ISNUMBER(G41),G41*1+IF(ISNUMBER(H41),H41,0)*5+IF(ISNUMBER(J41),J41,0)*10+IF(ISNUMBER(K41),K41,0)*3,"")</f>
        <v/>
      </c>
      <c r="P41" s="27"/>
    </row>
    <row r="42" customFormat="false" ht="15" hidden="false" customHeight="true" outlineLevel="0" collapsed="false">
      <c r="A42" s="22" t="s">
        <v>75</v>
      </c>
      <c r="B42" s="23" t="s">
        <v>63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4" t="str">
        <f aca="false">IF(AND(ISNUMBER(H42),ISNUMBER(G42),G42&gt;0),H42/G42,"")</f>
        <v/>
      </c>
      <c r="N42" s="25" t="str">
        <f aca="false">IF(AND(ISNUMBER(G42),G42&gt;0),G42/IF(ISNUMBER(ダッシュボード!D12),ダッシュボード!D12,1),"")</f>
        <v/>
      </c>
      <c r="O42" s="26" t="str">
        <f aca="false">IF(ISNUMBER(G42),G42*1+IF(ISNUMBER(H42),H42,0)*5+IF(ISNUMBER(J42),J42,0)*10+IF(ISNUMBER(K42),K42,0)*3,"")</f>
        <v/>
      </c>
      <c r="P42" s="22"/>
    </row>
    <row r="43" customFormat="false" ht="15" hidden="false" customHeight="true" outlineLevel="0" collapsed="false">
      <c r="A43" s="22" t="s">
        <v>75</v>
      </c>
      <c r="B43" s="23" t="s">
        <v>64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4" t="str">
        <f aca="false">IF(AND(ISNUMBER(H43),ISNUMBER(G43),G43&gt;0),H43/G43,"")</f>
        <v/>
      </c>
      <c r="N43" s="25" t="str">
        <f aca="false">IF(AND(ISNUMBER(G43),G43&gt;0),G43/IF(ISNUMBER(ダッシュボード!D12),ダッシュボード!D12,1),"")</f>
        <v/>
      </c>
      <c r="O43" s="26" t="str">
        <f aca="false">IF(ISNUMBER(G43),G43*1+IF(ISNUMBER(H43),H43,0)*5+IF(ISNUMBER(J43),J43,0)*10+IF(ISNUMBER(K43),K43,0)*3,"")</f>
        <v/>
      </c>
      <c r="P43" s="22"/>
    </row>
    <row r="44" customFormat="false" ht="15" hidden="false" customHeight="true" outlineLevel="0" collapsed="false">
      <c r="A44" s="22" t="s">
        <v>75</v>
      </c>
      <c r="B44" s="23" t="s">
        <v>65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4" t="str">
        <f aca="false">IF(AND(ISNUMBER(H44),ISNUMBER(G44),G44&gt;0),H44/G44,"")</f>
        <v/>
      </c>
      <c r="N44" s="25" t="str">
        <f aca="false">IF(AND(ISNUMBER(G44),G44&gt;0),G44/IF(ISNUMBER(ダッシュボード!D12),ダッシュボード!D12,1),"")</f>
        <v/>
      </c>
      <c r="O44" s="26" t="str">
        <f aca="false">IF(ISNUMBER(G44),G44*1+IF(ISNUMBER(H44),H44,0)*5+IF(ISNUMBER(J44),J44,0)*10+IF(ISNUMBER(K44),K44,0)*3,"")</f>
        <v/>
      </c>
      <c r="P44" s="22"/>
    </row>
    <row r="45" customFormat="false" ht="15" hidden="false" customHeight="true" outlineLevel="0" collapsed="false">
      <c r="A45" s="22" t="s">
        <v>75</v>
      </c>
      <c r="B45" s="23" t="s">
        <v>66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4" t="str">
        <f aca="false">IF(AND(ISNUMBER(H45),ISNUMBER(G45),G45&gt;0),H45/G45,"")</f>
        <v/>
      </c>
      <c r="N45" s="25" t="str">
        <f aca="false">IF(AND(ISNUMBER(G45),G45&gt;0),G45/IF(ISNUMBER(ダッシュボード!D12),ダッシュボード!D12,1),"")</f>
        <v/>
      </c>
      <c r="O45" s="26" t="str">
        <f aca="false">IF(ISNUMBER(G45),G45*1+IF(ISNUMBER(H45),H45,0)*5+IF(ISNUMBER(J45),J45,0)*10+IF(ISNUMBER(K45),K45,0)*3,"")</f>
        <v/>
      </c>
      <c r="P45" s="22"/>
    </row>
    <row r="46" customFormat="false" ht="15" hidden="false" customHeight="true" outlineLevel="0" collapsed="false">
      <c r="A46" s="22" t="s">
        <v>75</v>
      </c>
      <c r="B46" s="23" t="s">
        <v>67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4" t="str">
        <f aca="false">IF(AND(ISNUMBER(H46),ISNUMBER(G46),G46&gt;0),H46/G46,"")</f>
        <v/>
      </c>
      <c r="N46" s="25" t="str">
        <f aca="false">IF(AND(ISNUMBER(G46),G46&gt;0),G46/IF(ISNUMBER(ダッシュボード!D12),ダッシュボード!D12,1),"")</f>
        <v/>
      </c>
      <c r="O46" s="26" t="str">
        <f aca="false">IF(ISNUMBER(G46),G46*1+IF(ISNUMBER(H46),H46,0)*5+IF(ISNUMBER(J46),J46,0)*10+IF(ISNUMBER(K46),K46,0)*3,"")</f>
        <v/>
      </c>
      <c r="P46" s="22"/>
    </row>
    <row r="47" customFormat="false" ht="15" hidden="false" customHeight="true" outlineLevel="0" collapsed="false">
      <c r="A47" s="27" t="s">
        <v>76</v>
      </c>
      <c r="B47" s="28" t="s">
        <v>63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9" t="str">
        <f aca="false">IF(AND(ISNUMBER(H47),ISNUMBER(G47),G47&gt;0),H47/G47,"")</f>
        <v/>
      </c>
      <c r="N47" s="30" t="str">
        <f aca="false">IF(AND(ISNUMBER(G47),G47&gt;0),G47/IF(ISNUMBER(ダッシュボード!D12),ダッシュボード!D12,1),"")</f>
        <v/>
      </c>
      <c r="O47" s="31" t="str">
        <f aca="false">IF(ISNUMBER(G47),G47*1+IF(ISNUMBER(H47),H47,0)*5+IF(ISNUMBER(J47),J47,0)*10+IF(ISNUMBER(K47),K47,0)*3,"")</f>
        <v/>
      </c>
      <c r="P47" s="27"/>
    </row>
    <row r="48" customFormat="false" ht="15" hidden="false" customHeight="true" outlineLevel="0" collapsed="false">
      <c r="A48" s="27" t="s">
        <v>76</v>
      </c>
      <c r="B48" s="28" t="s">
        <v>64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9" t="str">
        <f aca="false">IF(AND(ISNUMBER(H48),ISNUMBER(G48),G48&gt;0),H48/G48,"")</f>
        <v/>
      </c>
      <c r="N48" s="30" t="str">
        <f aca="false">IF(AND(ISNUMBER(G48),G48&gt;0),G48/IF(ISNUMBER(ダッシュボード!D12),ダッシュボード!D12,1),"")</f>
        <v/>
      </c>
      <c r="O48" s="31" t="str">
        <f aca="false">IF(ISNUMBER(G48),G48*1+IF(ISNUMBER(H48),H48,0)*5+IF(ISNUMBER(J48),J48,0)*10+IF(ISNUMBER(K48),K48,0)*3,"")</f>
        <v/>
      </c>
      <c r="P48" s="27"/>
    </row>
    <row r="49" customFormat="false" ht="15" hidden="false" customHeight="true" outlineLevel="0" collapsed="false">
      <c r="A49" s="27" t="s">
        <v>76</v>
      </c>
      <c r="B49" s="28" t="s">
        <v>65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9" t="str">
        <f aca="false">IF(AND(ISNUMBER(H49),ISNUMBER(G49),G49&gt;0),H49/G49,"")</f>
        <v/>
      </c>
      <c r="N49" s="30" t="str">
        <f aca="false">IF(AND(ISNUMBER(G49),G49&gt;0),G49/IF(ISNUMBER(ダッシュボード!D12),ダッシュボード!D12,1),"")</f>
        <v/>
      </c>
      <c r="O49" s="31" t="str">
        <f aca="false">IF(ISNUMBER(G49),G49*1+IF(ISNUMBER(H49),H49,0)*5+IF(ISNUMBER(J49),J49,0)*10+IF(ISNUMBER(K49),K49,0)*3,"")</f>
        <v/>
      </c>
      <c r="P49" s="27"/>
    </row>
    <row r="50" customFormat="false" ht="15" hidden="false" customHeight="true" outlineLevel="0" collapsed="false">
      <c r="A50" s="27" t="s">
        <v>76</v>
      </c>
      <c r="B50" s="28" t="s">
        <v>66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9" t="str">
        <f aca="false">IF(AND(ISNUMBER(H50),ISNUMBER(G50),G50&gt;0),H50/G50,"")</f>
        <v/>
      </c>
      <c r="N50" s="30" t="str">
        <f aca="false">IF(AND(ISNUMBER(G50),G50&gt;0),G50/IF(ISNUMBER(ダッシュボード!D12),ダッシュボード!D12,1),"")</f>
        <v/>
      </c>
      <c r="O50" s="31" t="str">
        <f aca="false">IF(ISNUMBER(G50),G50*1+IF(ISNUMBER(H50),H50,0)*5+IF(ISNUMBER(J50),J50,0)*10+IF(ISNUMBER(K50),K50,0)*3,"")</f>
        <v/>
      </c>
      <c r="P50" s="27"/>
    </row>
    <row r="51" customFormat="false" ht="15" hidden="false" customHeight="true" outlineLevel="0" collapsed="false">
      <c r="A51" s="27" t="s">
        <v>76</v>
      </c>
      <c r="B51" s="28" t="s">
        <v>67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9" t="str">
        <f aca="false">IF(AND(ISNUMBER(H51),ISNUMBER(G51),G51&gt;0),H51/G51,"")</f>
        <v/>
      </c>
      <c r="N51" s="30" t="str">
        <f aca="false">IF(AND(ISNUMBER(G51),G51&gt;0),G51/IF(ISNUMBER(ダッシュボード!D12),ダッシュボード!D12,1),"")</f>
        <v/>
      </c>
      <c r="O51" s="31" t="str">
        <f aca="false">IF(ISNUMBER(G51),G51*1+IF(ISNUMBER(H51),H51,0)*5+IF(ISNUMBER(J51),J51,0)*10+IF(ISNUMBER(K51),K51,0)*3,"")</f>
        <v/>
      </c>
      <c r="P51" s="27"/>
    </row>
    <row r="52" customFormat="false" ht="15" hidden="false" customHeight="true" outlineLevel="0" collapsed="false">
      <c r="A52" s="22" t="s">
        <v>77</v>
      </c>
      <c r="B52" s="23" t="s">
        <v>63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4" t="str">
        <f aca="false">IF(AND(ISNUMBER(H52),ISNUMBER(G52),G52&gt;0),H52/G52,"")</f>
        <v/>
      </c>
      <c r="N52" s="25" t="str">
        <f aca="false">IF(AND(ISNUMBER(G52),G52&gt;0),G52/IF(ISNUMBER(ダッシュボード!D12),ダッシュボード!D12,1),"")</f>
        <v/>
      </c>
      <c r="O52" s="26" t="str">
        <f aca="false">IF(ISNUMBER(G52),G52*1+IF(ISNUMBER(H52),H52,0)*5+IF(ISNUMBER(J52),J52,0)*10+IF(ISNUMBER(K52),K52,0)*3,"")</f>
        <v/>
      </c>
      <c r="P52" s="22"/>
    </row>
    <row r="53" customFormat="false" ht="15" hidden="false" customHeight="true" outlineLevel="0" collapsed="false">
      <c r="A53" s="22" t="s">
        <v>77</v>
      </c>
      <c r="B53" s="23" t="s">
        <v>64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4" t="str">
        <f aca="false">IF(AND(ISNUMBER(H53),ISNUMBER(G53),G53&gt;0),H53/G53,"")</f>
        <v/>
      </c>
      <c r="N53" s="25" t="str">
        <f aca="false">IF(AND(ISNUMBER(G53),G53&gt;0),G53/IF(ISNUMBER(ダッシュボード!D12),ダッシュボード!D12,1),"")</f>
        <v/>
      </c>
      <c r="O53" s="26" t="str">
        <f aca="false">IF(ISNUMBER(G53),G53*1+IF(ISNUMBER(H53),H53,0)*5+IF(ISNUMBER(J53),J53,0)*10+IF(ISNUMBER(K53),K53,0)*3,"")</f>
        <v/>
      </c>
      <c r="P53" s="22"/>
    </row>
    <row r="54" customFormat="false" ht="15" hidden="false" customHeight="true" outlineLevel="0" collapsed="false">
      <c r="A54" s="22" t="s">
        <v>77</v>
      </c>
      <c r="B54" s="23" t="s">
        <v>65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4" t="str">
        <f aca="false">IF(AND(ISNUMBER(H54),ISNUMBER(G54),G54&gt;0),H54/G54,"")</f>
        <v/>
      </c>
      <c r="N54" s="25" t="str">
        <f aca="false">IF(AND(ISNUMBER(G54),G54&gt;0),G54/IF(ISNUMBER(ダッシュボード!D12),ダッシュボード!D12,1),"")</f>
        <v/>
      </c>
      <c r="O54" s="26" t="str">
        <f aca="false">IF(ISNUMBER(G54),G54*1+IF(ISNUMBER(H54),H54,0)*5+IF(ISNUMBER(J54),J54,0)*10+IF(ISNUMBER(K54),K54,0)*3,"")</f>
        <v/>
      </c>
      <c r="P54" s="22"/>
    </row>
    <row r="55" customFormat="false" ht="15" hidden="false" customHeight="true" outlineLevel="0" collapsed="false">
      <c r="A55" s="22" t="s">
        <v>77</v>
      </c>
      <c r="B55" s="23" t="s">
        <v>66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4" t="str">
        <f aca="false">IF(AND(ISNUMBER(H55),ISNUMBER(G55),G55&gt;0),H55/G55,"")</f>
        <v/>
      </c>
      <c r="N55" s="25" t="str">
        <f aca="false">IF(AND(ISNUMBER(G55),G55&gt;0),G55/IF(ISNUMBER(ダッシュボード!D12),ダッシュボード!D12,1),"")</f>
        <v/>
      </c>
      <c r="O55" s="26" t="str">
        <f aca="false">IF(ISNUMBER(G55),G55*1+IF(ISNUMBER(H55),H55,0)*5+IF(ISNUMBER(J55),J55,0)*10+IF(ISNUMBER(K55),K55,0)*3,"")</f>
        <v/>
      </c>
      <c r="P55" s="22"/>
    </row>
    <row r="56" customFormat="false" ht="15" hidden="false" customHeight="true" outlineLevel="0" collapsed="false">
      <c r="A56" s="22" t="s">
        <v>77</v>
      </c>
      <c r="B56" s="23" t="s">
        <v>67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4" t="str">
        <f aca="false">IF(AND(ISNUMBER(H56),ISNUMBER(G56),G56&gt;0),H56/G56,"")</f>
        <v/>
      </c>
      <c r="N56" s="25" t="str">
        <f aca="false">IF(AND(ISNUMBER(G56),G56&gt;0),G56/IF(ISNUMBER(ダッシュボード!D12),ダッシュボード!D12,1),"")</f>
        <v/>
      </c>
      <c r="O56" s="26" t="str">
        <f aca="false">IF(ISNUMBER(G56),G56*1+IF(ISNUMBER(H56),H56,0)*5+IF(ISNUMBER(J56),J56,0)*10+IF(ISNUMBER(K56),K56,0)*3,"")</f>
        <v/>
      </c>
      <c r="P56" s="22"/>
    </row>
    <row r="57" customFormat="false" ht="15" hidden="false" customHeight="true" outlineLevel="0" collapsed="false">
      <c r="A57" s="27" t="s">
        <v>78</v>
      </c>
      <c r="B57" s="28" t="s">
        <v>63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9" t="str">
        <f aca="false">IF(AND(ISNUMBER(H57),ISNUMBER(G57),G57&gt;0),H57/G57,"")</f>
        <v/>
      </c>
      <c r="N57" s="30" t="str">
        <f aca="false">IF(AND(ISNUMBER(G57),G57&gt;0),G57/IF(ISNUMBER(ダッシュボード!D12),ダッシュボード!D12,1),"")</f>
        <v/>
      </c>
      <c r="O57" s="31" t="str">
        <f aca="false">IF(ISNUMBER(G57),G57*1+IF(ISNUMBER(H57),H57,0)*5+IF(ISNUMBER(J57),J57,0)*10+IF(ISNUMBER(K57),K57,0)*3,"")</f>
        <v/>
      </c>
      <c r="P57" s="27"/>
    </row>
    <row r="58" customFormat="false" ht="15" hidden="false" customHeight="true" outlineLevel="0" collapsed="false">
      <c r="A58" s="27" t="s">
        <v>78</v>
      </c>
      <c r="B58" s="28" t="s">
        <v>64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9" t="str">
        <f aca="false">IF(AND(ISNUMBER(H58),ISNUMBER(G58),G58&gt;0),H58/G58,"")</f>
        <v/>
      </c>
      <c r="N58" s="30" t="str">
        <f aca="false">IF(AND(ISNUMBER(G58),G58&gt;0),G58/IF(ISNUMBER(ダッシュボード!D12),ダッシュボード!D12,1),"")</f>
        <v/>
      </c>
      <c r="O58" s="31" t="str">
        <f aca="false">IF(ISNUMBER(G58),G58*1+IF(ISNUMBER(H58),H58,0)*5+IF(ISNUMBER(J58),J58,0)*10+IF(ISNUMBER(K58),K58,0)*3,"")</f>
        <v/>
      </c>
      <c r="P58" s="27"/>
    </row>
    <row r="59" customFormat="false" ht="15" hidden="false" customHeight="true" outlineLevel="0" collapsed="false">
      <c r="A59" s="27" t="s">
        <v>78</v>
      </c>
      <c r="B59" s="28" t="s">
        <v>65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9" t="str">
        <f aca="false">IF(AND(ISNUMBER(H59),ISNUMBER(G59),G59&gt;0),H59/G59,"")</f>
        <v/>
      </c>
      <c r="N59" s="30" t="str">
        <f aca="false">IF(AND(ISNUMBER(G59),G59&gt;0),G59/IF(ISNUMBER(ダッシュボード!D12),ダッシュボード!D12,1),"")</f>
        <v/>
      </c>
      <c r="O59" s="31" t="str">
        <f aca="false">IF(ISNUMBER(G59),G59*1+IF(ISNUMBER(H59),H59,0)*5+IF(ISNUMBER(J59),J59,0)*10+IF(ISNUMBER(K59),K59,0)*3,"")</f>
        <v/>
      </c>
      <c r="P59" s="27"/>
    </row>
    <row r="60" customFormat="false" ht="15" hidden="false" customHeight="true" outlineLevel="0" collapsed="false">
      <c r="A60" s="27" t="s">
        <v>78</v>
      </c>
      <c r="B60" s="28" t="s">
        <v>66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9" t="str">
        <f aca="false">IF(AND(ISNUMBER(H60),ISNUMBER(G60),G60&gt;0),H60/G60,"")</f>
        <v/>
      </c>
      <c r="N60" s="30" t="str">
        <f aca="false">IF(AND(ISNUMBER(G60),G60&gt;0),G60/IF(ISNUMBER(ダッシュボード!D12),ダッシュボード!D12,1),"")</f>
        <v/>
      </c>
      <c r="O60" s="31" t="str">
        <f aca="false">IF(ISNUMBER(G60),G60*1+IF(ISNUMBER(H60),H60,0)*5+IF(ISNUMBER(J60),J60,0)*10+IF(ISNUMBER(K60),K60,0)*3,"")</f>
        <v/>
      </c>
      <c r="P60" s="27"/>
    </row>
    <row r="61" customFormat="false" ht="15" hidden="false" customHeight="true" outlineLevel="0" collapsed="false">
      <c r="A61" s="27" t="s">
        <v>78</v>
      </c>
      <c r="B61" s="28" t="s">
        <v>67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9" t="str">
        <f aca="false">IF(AND(ISNUMBER(H61),ISNUMBER(G61),G61&gt;0),H61/G61,"")</f>
        <v/>
      </c>
      <c r="N61" s="30" t="str">
        <f aca="false">IF(AND(ISNUMBER(G61),G61&gt;0),G61/IF(ISNUMBER(ダッシュボード!D12),ダッシュボード!D12,1),"")</f>
        <v/>
      </c>
      <c r="O61" s="31" t="str">
        <f aca="false">IF(ISNUMBER(G61),G61*1+IF(ISNUMBER(H61),H61,0)*5+IF(ISNUMBER(J61),J61,0)*10+IF(ISNUMBER(K61),K61,0)*3,"")</f>
        <v/>
      </c>
      <c r="P61" s="27"/>
    </row>
    <row r="62" customFormat="false" ht="15" hidden="false" customHeight="true" outlineLevel="0" collapsed="false">
      <c r="A62" s="22" t="s">
        <v>79</v>
      </c>
      <c r="B62" s="23" t="s">
        <v>63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4" t="str">
        <f aca="false">IF(AND(ISNUMBER(H62),ISNUMBER(G62),G62&gt;0),H62/G62,"")</f>
        <v/>
      </c>
      <c r="N62" s="25" t="str">
        <f aca="false">IF(AND(ISNUMBER(G62),G62&gt;0),G62/IF(ISNUMBER(ダッシュボード!D12),ダッシュボード!D12,1),"")</f>
        <v/>
      </c>
      <c r="O62" s="26" t="str">
        <f aca="false">IF(ISNUMBER(G62),G62*1+IF(ISNUMBER(H62),H62,0)*5+IF(ISNUMBER(J62),J62,0)*10+IF(ISNUMBER(K62),K62,0)*3,"")</f>
        <v/>
      </c>
      <c r="P62" s="22"/>
    </row>
    <row r="63" customFormat="false" ht="15" hidden="false" customHeight="true" outlineLevel="0" collapsed="false">
      <c r="A63" s="22" t="s">
        <v>79</v>
      </c>
      <c r="B63" s="23" t="s">
        <v>64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4" t="str">
        <f aca="false">IF(AND(ISNUMBER(H63),ISNUMBER(G63),G63&gt;0),H63/G63,"")</f>
        <v/>
      </c>
      <c r="N63" s="25" t="str">
        <f aca="false">IF(AND(ISNUMBER(G63),G63&gt;0),G63/IF(ISNUMBER(ダッシュボード!D12),ダッシュボード!D12,1),"")</f>
        <v/>
      </c>
      <c r="O63" s="26" t="str">
        <f aca="false">IF(ISNUMBER(G63),G63*1+IF(ISNUMBER(H63),H63,0)*5+IF(ISNUMBER(J63),J63,0)*10+IF(ISNUMBER(K63),K63,0)*3,"")</f>
        <v/>
      </c>
      <c r="P63" s="22"/>
    </row>
    <row r="64" customFormat="false" ht="15" hidden="false" customHeight="true" outlineLevel="0" collapsed="false">
      <c r="A64" s="22" t="s">
        <v>79</v>
      </c>
      <c r="B64" s="23" t="s">
        <v>65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4" t="str">
        <f aca="false">IF(AND(ISNUMBER(H64),ISNUMBER(G64),G64&gt;0),H64/G64,"")</f>
        <v/>
      </c>
      <c r="N64" s="25" t="str">
        <f aca="false">IF(AND(ISNUMBER(G64),G64&gt;0),G64/IF(ISNUMBER(ダッシュボード!D12),ダッシュボード!D12,1),"")</f>
        <v/>
      </c>
      <c r="O64" s="26" t="str">
        <f aca="false">IF(ISNUMBER(G64),G64*1+IF(ISNUMBER(H64),H64,0)*5+IF(ISNUMBER(J64),J64,0)*10+IF(ISNUMBER(K64),K64,0)*3,"")</f>
        <v/>
      </c>
      <c r="P64" s="22"/>
    </row>
    <row r="65" customFormat="false" ht="15" hidden="false" customHeight="true" outlineLevel="0" collapsed="false">
      <c r="A65" s="22" t="s">
        <v>79</v>
      </c>
      <c r="B65" s="23" t="s">
        <v>66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4" t="str">
        <f aca="false">IF(AND(ISNUMBER(H65),ISNUMBER(G65),G65&gt;0),H65/G65,"")</f>
        <v/>
      </c>
      <c r="N65" s="25" t="str">
        <f aca="false">IF(AND(ISNUMBER(G65),G65&gt;0),G65/IF(ISNUMBER(ダッシュボード!D12),ダッシュボード!D12,1),"")</f>
        <v/>
      </c>
      <c r="O65" s="26" t="str">
        <f aca="false">IF(ISNUMBER(G65),G65*1+IF(ISNUMBER(H65),H65,0)*5+IF(ISNUMBER(J65),J65,0)*10+IF(ISNUMBER(K65),K65,0)*3,"")</f>
        <v/>
      </c>
      <c r="P65" s="22"/>
    </row>
    <row r="66" customFormat="false" ht="15" hidden="false" customHeight="true" outlineLevel="0" collapsed="false">
      <c r="A66" s="22" t="s">
        <v>79</v>
      </c>
      <c r="B66" s="23" t="s">
        <v>67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4" t="str">
        <f aca="false">IF(AND(ISNUMBER(H66),ISNUMBER(G66),G66&gt;0),H66/G66,"")</f>
        <v/>
      </c>
      <c r="N66" s="25" t="str">
        <f aca="false">IF(AND(ISNUMBER(G66),G66&gt;0),G66/IF(ISNUMBER(ダッシュボード!D12),ダッシュボード!D12,1),"")</f>
        <v/>
      </c>
      <c r="O66" s="26" t="str">
        <f aca="false">IF(ISNUMBER(G66),G66*1+IF(ISNUMBER(H66),H66,0)*5+IF(ISNUMBER(J66),J66,0)*10+IF(ISNUMBER(K66),K66,0)*3,"")</f>
        <v/>
      </c>
      <c r="P66" s="22"/>
    </row>
    <row r="67" customFormat="false" ht="15" hidden="false" customHeight="true" outlineLevel="0" collapsed="false">
      <c r="A67" s="27" t="s">
        <v>80</v>
      </c>
      <c r="B67" s="28" t="s">
        <v>63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9" t="str">
        <f aca="false">IF(AND(ISNUMBER(H67),ISNUMBER(G67),G67&gt;0),H67/G67,"")</f>
        <v/>
      </c>
      <c r="N67" s="30" t="str">
        <f aca="false">IF(AND(ISNUMBER(G67),G67&gt;0),G67/IF(ISNUMBER(ダッシュボード!D12),ダッシュボード!D12,1),"")</f>
        <v/>
      </c>
      <c r="O67" s="31" t="str">
        <f aca="false">IF(ISNUMBER(G67),G67*1+IF(ISNUMBER(H67),H67,0)*5+IF(ISNUMBER(J67),J67,0)*10+IF(ISNUMBER(K67),K67,0)*3,"")</f>
        <v/>
      </c>
      <c r="P67" s="27"/>
    </row>
    <row r="68" customFormat="false" ht="15" hidden="false" customHeight="true" outlineLevel="0" collapsed="false">
      <c r="A68" s="27" t="s">
        <v>80</v>
      </c>
      <c r="B68" s="28" t="s">
        <v>64</v>
      </c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9" t="str">
        <f aca="false">IF(AND(ISNUMBER(H68),ISNUMBER(G68),G68&gt;0),H68/G68,"")</f>
        <v/>
      </c>
      <c r="N68" s="30" t="str">
        <f aca="false">IF(AND(ISNUMBER(G68),G68&gt;0),G68/IF(ISNUMBER(ダッシュボード!D12),ダッシュボード!D12,1),"")</f>
        <v/>
      </c>
      <c r="O68" s="31" t="str">
        <f aca="false">IF(ISNUMBER(G68),G68*1+IF(ISNUMBER(H68),H68,0)*5+IF(ISNUMBER(J68),J68,0)*10+IF(ISNUMBER(K68),K68,0)*3,"")</f>
        <v/>
      </c>
      <c r="P68" s="27"/>
    </row>
    <row r="69" customFormat="false" ht="15" hidden="false" customHeight="true" outlineLevel="0" collapsed="false">
      <c r="A69" s="27" t="s">
        <v>80</v>
      </c>
      <c r="B69" s="28" t="s">
        <v>65</v>
      </c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9" t="str">
        <f aca="false">IF(AND(ISNUMBER(H69),ISNUMBER(G69),G69&gt;0),H69/G69,"")</f>
        <v/>
      </c>
      <c r="N69" s="30" t="str">
        <f aca="false">IF(AND(ISNUMBER(G69),G69&gt;0),G69/IF(ISNUMBER(ダッシュボード!D12),ダッシュボード!D12,1),"")</f>
        <v/>
      </c>
      <c r="O69" s="31" t="str">
        <f aca="false">IF(ISNUMBER(G69),G69*1+IF(ISNUMBER(H69),H69,0)*5+IF(ISNUMBER(J69),J69,0)*10+IF(ISNUMBER(K69),K69,0)*3,"")</f>
        <v/>
      </c>
      <c r="P69" s="27"/>
    </row>
    <row r="70" customFormat="false" ht="15" hidden="false" customHeight="true" outlineLevel="0" collapsed="false">
      <c r="A70" s="27" t="s">
        <v>80</v>
      </c>
      <c r="B70" s="28" t="s">
        <v>66</v>
      </c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9" t="str">
        <f aca="false">IF(AND(ISNUMBER(H70),ISNUMBER(G70),G70&gt;0),H70/G70,"")</f>
        <v/>
      </c>
      <c r="N70" s="30" t="str">
        <f aca="false">IF(AND(ISNUMBER(G70),G70&gt;0),G70/IF(ISNUMBER(ダッシュボード!D12),ダッシュボード!D12,1),"")</f>
        <v/>
      </c>
      <c r="O70" s="31" t="str">
        <f aca="false">IF(ISNUMBER(G70),G70*1+IF(ISNUMBER(H70),H70,0)*5+IF(ISNUMBER(J70),J70,0)*10+IF(ISNUMBER(K70),K70,0)*3,"")</f>
        <v/>
      </c>
      <c r="P70" s="27"/>
    </row>
    <row r="71" customFormat="false" ht="15" hidden="false" customHeight="true" outlineLevel="0" collapsed="false">
      <c r="A71" s="27" t="s">
        <v>80</v>
      </c>
      <c r="B71" s="28" t="s">
        <v>67</v>
      </c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9" t="str">
        <f aca="false">IF(AND(ISNUMBER(H71),ISNUMBER(G71),G71&gt;0),H71/G71,"")</f>
        <v/>
      </c>
      <c r="N71" s="30" t="str">
        <f aca="false">IF(AND(ISNUMBER(G71),G71&gt;0),G71/IF(ISNUMBER(ダッシュボード!D12),ダッシュボード!D12,1),"")</f>
        <v/>
      </c>
      <c r="O71" s="31" t="str">
        <f aca="false">IF(ISNUMBER(G71),G71*1+IF(ISNUMBER(H71),H71,0)*5+IF(ISNUMBER(J71),J71,0)*10+IF(ISNUMBER(K71),K71,0)*3,"")</f>
        <v/>
      </c>
      <c r="P71" s="27"/>
    </row>
    <row r="72" customFormat="false" ht="15" hidden="false" customHeight="true" outlineLevel="0" collapsed="false">
      <c r="A72" s="22" t="s">
        <v>81</v>
      </c>
      <c r="B72" s="23" t="s">
        <v>63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4" t="str">
        <f aca="false">IF(AND(ISNUMBER(H72),ISNUMBER(G72),G72&gt;0),H72/G72,"")</f>
        <v/>
      </c>
      <c r="N72" s="25" t="str">
        <f aca="false">IF(AND(ISNUMBER(G72),G72&gt;0),G72/IF(ISNUMBER(ダッシュボード!D12),ダッシュボード!D12,1),"")</f>
        <v/>
      </c>
      <c r="O72" s="26" t="str">
        <f aca="false">IF(ISNUMBER(G72),G72*1+IF(ISNUMBER(H72),H72,0)*5+IF(ISNUMBER(J72),J72,0)*10+IF(ISNUMBER(K72),K72,0)*3,"")</f>
        <v/>
      </c>
      <c r="P72" s="22"/>
    </row>
    <row r="73" customFormat="false" ht="15" hidden="false" customHeight="true" outlineLevel="0" collapsed="false">
      <c r="A73" s="22" t="s">
        <v>81</v>
      </c>
      <c r="B73" s="23" t="s">
        <v>64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4" t="str">
        <f aca="false">IF(AND(ISNUMBER(H73),ISNUMBER(G73),G73&gt;0),H73/G73,"")</f>
        <v/>
      </c>
      <c r="N73" s="25" t="str">
        <f aca="false">IF(AND(ISNUMBER(G73),G73&gt;0),G73/IF(ISNUMBER(ダッシュボード!D12),ダッシュボード!D12,1),"")</f>
        <v/>
      </c>
      <c r="O73" s="26" t="str">
        <f aca="false">IF(ISNUMBER(G73),G73*1+IF(ISNUMBER(H73),H73,0)*5+IF(ISNUMBER(J73),J73,0)*10+IF(ISNUMBER(K73),K73,0)*3,"")</f>
        <v/>
      </c>
      <c r="P73" s="22"/>
    </row>
    <row r="74" customFormat="false" ht="15" hidden="false" customHeight="true" outlineLevel="0" collapsed="false">
      <c r="A74" s="22" t="s">
        <v>81</v>
      </c>
      <c r="B74" s="23" t="s">
        <v>65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4" t="str">
        <f aca="false">IF(AND(ISNUMBER(H74),ISNUMBER(G74),G74&gt;0),H74/G74,"")</f>
        <v/>
      </c>
      <c r="N74" s="25" t="str">
        <f aca="false">IF(AND(ISNUMBER(G74),G74&gt;0),G74/IF(ISNUMBER(ダッシュボード!D12),ダッシュボード!D12,1),"")</f>
        <v/>
      </c>
      <c r="O74" s="26" t="str">
        <f aca="false">IF(ISNUMBER(G74),G74*1+IF(ISNUMBER(H74),H74,0)*5+IF(ISNUMBER(J74),J74,0)*10+IF(ISNUMBER(K74),K74,0)*3,"")</f>
        <v/>
      </c>
      <c r="P74" s="22"/>
    </row>
    <row r="75" customFormat="false" ht="15" hidden="false" customHeight="true" outlineLevel="0" collapsed="false">
      <c r="A75" s="22" t="s">
        <v>81</v>
      </c>
      <c r="B75" s="23" t="s">
        <v>66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4" t="str">
        <f aca="false">IF(AND(ISNUMBER(H75),ISNUMBER(G75),G75&gt;0),H75/G75,"")</f>
        <v/>
      </c>
      <c r="N75" s="25" t="str">
        <f aca="false">IF(AND(ISNUMBER(G75),G75&gt;0),G75/IF(ISNUMBER(ダッシュボード!D12),ダッシュボード!D12,1),"")</f>
        <v/>
      </c>
      <c r="O75" s="26" t="str">
        <f aca="false">IF(ISNUMBER(G75),G75*1+IF(ISNUMBER(H75),H75,0)*5+IF(ISNUMBER(J75),J75,0)*10+IF(ISNUMBER(K75),K75,0)*3,"")</f>
        <v/>
      </c>
      <c r="P75" s="22"/>
    </row>
    <row r="76" customFormat="false" ht="15" hidden="false" customHeight="true" outlineLevel="0" collapsed="false">
      <c r="A76" s="22" t="s">
        <v>81</v>
      </c>
      <c r="B76" s="23" t="s">
        <v>67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4" t="str">
        <f aca="false">IF(AND(ISNUMBER(H76),ISNUMBER(G76),G76&gt;0),H76/G76,"")</f>
        <v/>
      </c>
      <c r="N76" s="25" t="str">
        <f aca="false">IF(AND(ISNUMBER(G76),G76&gt;0),G76/IF(ISNUMBER(ダッシュボード!D12),ダッシュボード!D12,1),"")</f>
        <v/>
      </c>
      <c r="O76" s="26" t="str">
        <f aca="false">IF(ISNUMBER(G76),G76*1+IF(ISNUMBER(H76),H76,0)*5+IF(ISNUMBER(J76),J76,0)*10+IF(ISNUMBER(K76),K76,0)*3,"")</f>
        <v/>
      </c>
      <c r="P76" s="22"/>
    </row>
    <row r="77" customFormat="false" ht="15" hidden="false" customHeight="true" outlineLevel="0" collapsed="false">
      <c r="A77" s="27" t="s">
        <v>82</v>
      </c>
      <c r="B77" s="28" t="s">
        <v>63</v>
      </c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9" t="str">
        <f aca="false">IF(AND(ISNUMBER(H77),ISNUMBER(G77),G77&gt;0),H77/G77,"")</f>
        <v/>
      </c>
      <c r="N77" s="30" t="str">
        <f aca="false">IF(AND(ISNUMBER(G77),G77&gt;0),G77/IF(ISNUMBER(ダッシュボード!D12),ダッシュボード!D12,1),"")</f>
        <v/>
      </c>
      <c r="O77" s="31" t="str">
        <f aca="false">IF(ISNUMBER(G77),G77*1+IF(ISNUMBER(H77),H77,0)*5+IF(ISNUMBER(J77),J77,0)*10+IF(ISNUMBER(K77),K77,0)*3,"")</f>
        <v/>
      </c>
      <c r="P77" s="27"/>
    </row>
    <row r="78" customFormat="false" ht="15" hidden="false" customHeight="true" outlineLevel="0" collapsed="false">
      <c r="A78" s="27" t="s">
        <v>82</v>
      </c>
      <c r="B78" s="28" t="s">
        <v>64</v>
      </c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9" t="str">
        <f aca="false">IF(AND(ISNUMBER(H78),ISNUMBER(G78),G78&gt;0),H78/G78,"")</f>
        <v/>
      </c>
      <c r="N78" s="30" t="str">
        <f aca="false">IF(AND(ISNUMBER(G78),G78&gt;0),G78/IF(ISNUMBER(ダッシュボード!D12),ダッシュボード!D12,1),"")</f>
        <v/>
      </c>
      <c r="O78" s="31" t="str">
        <f aca="false">IF(ISNUMBER(G78),G78*1+IF(ISNUMBER(H78),H78,0)*5+IF(ISNUMBER(J78),J78,0)*10+IF(ISNUMBER(K78),K78,0)*3,"")</f>
        <v/>
      </c>
      <c r="P78" s="27"/>
    </row>
    <row r="79" customFormat="false" ht="15" hidden="false" customHeight="true" outlineLevel="0" collapsed="false">
      <c r="A79" s="27" t="s">
        <v>82</v>
      </c>
      <c r="B79" s="28" t="s">
        <v>65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9" t="str">
        <f aca="false">IF(AND(ISNUMBER(H79),ISNUMBER(G79),G79&gt;0),H79/G79,"")</f>
        <v/>
      </c>
      <c r="N79" s="30" t="str">
        <f aca="false">IF(AND(ISNUMBER(G79),G79&gt;0),G79/IF(ISNUMBER(ダッシュボード!D12),ダッシュボード!D12,1),"")</f>
        <v/>
      </c>
      <c r="O79" s="31" t="str">
        <f aca="false">IF(ISNUMBER(G79),G79*1+IF(ISNUMBER(H79),H79,0)*5+IF(ISNUMBER(J79),J79,0)*10+IF(ISNUMBER(K79),K79,0)*3,"")</f>
        <v/>
      </c>
      <c r="P79" s="27"/>
    </row>
    <row r="80" customFormat="false" ht="15" hidden="false" customHeight="true" outlineLevel="0" collapsed="false">
      <c r="A80" s="27" t="s">
        <v>82</v>
      </c>
      <c r="B80" s="28" t="s">
        <v>66</v>
      </c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9" t="str">
        <f aca="false">IF(AND(ISNUMBER(H80),ISNUMBER(G80),G80&gt;0),H80/G80,"")</f>
        <v/>
      </c>
      <c r="N80" s="30" t="str">
        <f aca="false">IF(AND(ISNUMBER(G80),G80&gt;0),G80/IF(ISNUMBER(ダッシュボード!D12),ダッシュボード!D12,1),"")</f>
        <v/>
      </c>
      <c r="O80" s="31" t="str">
        <f aca="false">IF(ISNUMBER(G80),G80*1+IF(ISNUMBER(H80),H80,0)*5+IF(ISNUMBER(J80),J80,0)*10+IF(ISNUMBER(K80),K80,0)*3,"")</f>
        <v/>
      </c>
      <c r="P80" s="27"/>
    </row>
    <row r="81" customFormat="false" ht="15" hidden="false" customHeight="true" outlineLevel="0" collapsed="false">
      <c r="A81" s="27" t="s">
        <v>82</v>
      </c>
      <c r="B81" s="28" t="s">
        <v>67</v>
      </c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9" t="str">
        <f aca="false">IF(AND(ISNUMBER(H81),ISNUMBER(G81),G81&gt;0),H81/G81,"")</f>
        <v/>
      </c>
      <c r="N81" s="30" t="str">
        <f aca="false">IF(AND(ISNUMBER(G81),G81&gt;0),G81/IF(ISNUMBER(ダッシュボード!D12),ダッシュボード!D12,1),"")</f>
        <v/>
      </c>
      <c r="O81" s="31" t="str">
        <f aca="false">IF(ISNUMBER(G81),G81*1+IF(ISNUMBER(H81),H81,0)*5+IF(ISNUMBER(J81),J81,0)*10+IF(ISNUMBER(K81),K81,0)*3,"")</f>
        <v/>
      </c>
      <c r="P81" s="27"/>
    </row>
    <row r="82" customFormat="false" ht="15" hidden="false" customHeight="true" outlineLevel="0" collapsed="false">
      <c r="A82" s="22" t="s">
        <v>83</v>
      </c>
      <c r="B82" s="23" t="s">
        <v>63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4" t="str">
        <f aca="false">IF(AND(ISNUMBER(H82),ISNUMBER(G82),G82&gt;0),H82/G82,"")</f>
        <v/>
      </c>
      <c r="N82" s="25" t="str">
        <f aca="false">IF(AND(ISNUMBER(G82),G82&gt;0),G82/IF(ISNUMBER(ダッシュボード!D12),ダッシュボード!D12,1),"")</f>
        <v/>
      </c>
      <c r="O82" s="26" t="str">
        <f aca="false">IF(ISNUMBER(G82),G82*1+IF(ISNUMBER(H82),H82,0)*5+IF(ISNUMBER(J82),J82,0)*10+IF(ISNUMBER(K82),K82,0)*3,"")</f>
        <v/>
      </c>
      <c r="P82" s="22"/>
    </row>
    <row r="83" customFormat="false" ht="15" hidden="false" customHeight="true" outlineLevel="0" collapsed="false">
      <c r="A83" s="22" t="s">
        <v>83</v>
      </c>
      <c r="B83" s="23" t="s">
        <v>64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4" t="str">
        <f aca="false">IF(AND(ISNUMBER(H83),ISNUMBER(G83),G83&gt;0),H83/G83,"")</f>
        <v/>
      </c>
      <c r="N83" s="25" t="str">
        <f aca="false">IF(AND(ISNUMBER(G83),G83&gt;0),G83/IF(ISNUMBER(ダッシュボード!D12),ダッシュボード!D12,1),"")</f>
        <v/>
      </c>
      <c r="O83" s="26" t="str">
        <f aca="false">IF(ISNUMBER(G83),G83*1+IF(ISNUMBER(H83),H83,0)*5+IF(ISNUMBER(J83),J83,0)*10+IF(ISNUMBER(K83),K83,0)*3,"")</f>
        <v/>
      </c>
      <c r="P83" s="22"/>
    </row>
    <row r="84" customFormat="false" ht="15" hidden="false" customHeight="true" outlineLevel="0" collapsed="false">
      <c r="A84" s="22" t="s">
        <v>83</v>
      </c>
      <c r="B84" s="23" t="s">
        <v>65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4" t="str">
        <f aca="false">IF(AND(ISNUMBER(H84),ISNUMBER(G84),G84&gt;0),H84/G84,"")</f>
        <v/>
      </c>
      <c r="N84" s="25" t="str">
        <f aca="false">IF(AND(ISNUMBER(G84),G84&gt;0),G84/IF(ISNUMBER(ダッシュボード!D12),ダッシュボード!D12,1),"")</f>
        <v/>
      </c>
      <c r="O84" s="26" t="str">
        <f aca="false">IF(ISNUMBER(G84),G84*1+IF(ISNUMBER(H84),H84,0)*5+IF(ISNUMBER(J84),J84,0)*10+IF(ISNUMBER(K84),K84,0)*3,"")</f>
        <v/>
      </c>
      <c r="P84" s="22"/>
    </row>
    <row r="85" customFormat="false" ht="15" hidden="false" customHeight="true" outlineLevel="0" collapsed="false">
      <c r="A85" s="22" t="s">
        <v>83</v>
      </c>
      <c r="B85" s="23" t="s">
        <v>66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4" t="str">
        <f aca="false">IF(AND(ISNUMBER(H85),ISNUMBER(G85),G85&gt;0),H85/G85,"")</f>
        <v/>
      </c>
      <c r="N85" s="25" t="str">
        <f aca="false">IF(AND(ISNUMBER(G85),G85&gt;0),G85/IF(ISNUMBER(ダッシュボード!D12),ダッシュボード!D12,1),"")</f>
        <v/>
      </c>
      <c r="O85" s="26" t="str">
        <f aca="false">IF(ISNUMBER(G85),G85*1+IF(ISNUMBER(H85),H85,0)*5+IF(ISNUMBER(J85),J85,0)*10+IF(ISNUMBER(K85),K85,0)*3,"")</f>
        <v/>
      </c>
      <c r="P85" s="22"/>
    </row>
    <row r="86" customFormat="false" ht="15" hidden="false" customHeight="true" outlineLevel="0" collapsed="false">
      <c r="A86" s="22" t="s">
        <v>83</v>
      </c>
      <c r="B86" s="23" t="s">
        <v>67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4" t="str">
        <f aca="false">IF(AND(ISNUMBER(H86),ISNUMBER(G86),G86&gt;0),H86/G86,"")</f>
        <v/>
      </c>
      <c r="N86" s="25" t="str">
        <f aca="false">IF(AND(ISNUMBER(G86),G86&gt;0),G86/IF(ISNUMBER(ダッシュボード!D12),ダッシュボード!D12,1),"")</f>
        <v/>
      </c>
      <c r="O86" s="26" t="str">
        <f aca="false">IF(ISNUMBER(G86),G86*1+IF(ISNUMBER(H86),H86,0)*5+IF(ISNUMBER(J86),J86,0)*10+IF(ISNUMBER(K86),K86,0)*3,"")</f>
        <v/>
      </c>
      <c r="P86" s="22"/>
    </row>
    <row r="87" customFormat="false" ht="15" hidden="false" customHeight="true" outlineLevel="0" collapsed="false">
      <c r="A87" s="27" t="s">
        <v>84</v>
      </c>
      <c r="B87" s="28" t="s">
        <v>63</v>
      </c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9" t="str">
        <f aca="false">IF(AND(ISNUMBER(H87),ISNUMBER(G87),G87&gt;0),H87/G87,"")</f>
        <v/>
      </c>
      <c r="N87" s="30" t="str">
        <f aca="false">IF(AND(ISNUMBER(G87),G87&gt;0),G87/IF(ISNUMBER(ダッシュボード!D12),ダッシュボード!D12,1),"")</f>
        <v/>
      </c>
      <c r="O87" s="31" t="str">
        <f aca="false">IF(ISNUMBER(G87),G87*1+IF(ISNUMBER(H87),H87,0)*5+IF(ISNUMBER(J87),J87,0)*10+IF(ISNUMBER(K87),K87,0)*3,"")</f>
        <v/>
      </c>
      <c r="P87" s="27"/>
    </row>
    <row r="88" customFormat="false" ht="15" hidden="false" customHeight="true" outlineLevel="0" collapsed="false">
      <c r="A88" s="27" t="s">
        <v>84</v>
      </c>
      <c r="B88" s="28" t="s">
        <v>64</v>
      </c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9" t="str">
        <f aca="false">IF(AND(ISNUMBER(H88),ISNUMBER(G88),G88&gt;0),H88/G88,"")</f>
        <v/>
      </c>
      <c r="N88" s="30" t="str">
        <f aca="false">IF(AND(ISNUMBER(G88),G88&gt;0),G88/IF(ISNUMBER(ダッシュボード!D12),ダッシュボード!D12,1),"")</f>
        <v/>
      </c>
      <c r="O88" s="31" t="str">
        <f aca="false">IF(ISNUMBER(G88),G88*1+IF(ISNUMBER(H88),H88,0)*5+IF(ISNUMBER(J88),J88,0)*10+IF(ISNUMBER(K88),K88,0)*3,"")</f>
        <v/>
      </c>
      <c r="P88" s="27"/>
    </row>
    <row r="89" customFormat="false" ht="15" hidden="false" customHeight="true" outlineLevel="0" collapsed="false">
      <c r="A89" s="27" t="s">
        <v>84</v>
      </c>
      <c r="B89" s="28" t="s">
        <v>65</v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9" t="str">
        <f aca="false">IF(AND(ISNUMBER(H89),ISNUMBER(G89),G89&gt;0),H89/G89,"")</f>
        <v/>
      </c>
      <c r="N89" s="30" t="str">
        <f aca="false">IF(AND(ISNUMBER(G89),G89&gt;0),G89/IF(ISNUMBER(ダッシュボード!D12),ダッシュボード!D12,1),"")</f>
        <v/>
      </c>
      <c r="O89" s="31" t="str">
        <f aca="false">IF(ISNUMBER(G89),G89*1+IF(ISNUMBER(H89),H89,0)*5+IF(ISNUMBER(J89),J89,0)*10+IF(ISNUMBER(K89),K89,0)*3,"")</f>
        <v/>
      </c>
      <c r="P89" s="27"/>
    </row>
    <row r="90" customFormat="false" ht="15" hidden="false" customHeight="true" outlineLevel="0" collapsed="false">
      <c r="A90" s="27" t="s">
        <v>84</v>
      </c>
      <c r="B90" s="28" t="s">
        <v>66</v>
      </c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9" t="str">
        <f aca="false">IF(AND(ISNUMBER(H90),ISNUMBER(G90),G90&gt;0),H90/G90,"")</f>
        <v/>
      </c>
      <c r="N90" s="30" t="str">
        <f aca="false">IF(AND(ISNUMBER(G90),G90&gt;0),G90/IF(ISNUMBER(ダッシュボード!D12),ダッシュボード!D12,1),"")</f>
        <v/>
      </c>
      <c r="O90" s="31" t="str">
        <f aca="false">IF(ISNUMBER(G90),G90*1+IF(ISNUMBER(H90),H90,0)*5+IF(ISNUMBER(J90),J90,0)*10+IF(ISNUMBER(K90),K90,0)*3,"")</f>
        <v/>
      </c>
      <c r="P90" s="27"/>
    </row>
    <row r="91" customFormat="false" ht="15" hidden="false" customHeight="true" outlineLevel="0" collapsed="false">
      <c r="A91" s="27" t="s">
        <v>84</v>
      </c>
      <c r="B91" s="28" t="s">
        <v>67</v>
      </c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9" t="str">
        <f aca="false">IF(AND(ISNUMBER(H91),ISNUMBER(G91),G91&gt;0),H91/G91,"")</f>
        <v/>
      </c>
      <c r="N91" s="30" t="str">
        <f aca="false">IF(AND(ISNUMBER(G91),G91&gt;0),G91/IF(ISNUMBER(ダッシュボード!D12),ダッシュボード!D12,1),"")</f>
        <v/>
      </c>
      <c r="O91" s="31" t="str">
        <f aca="false">IF(ISNUMBER(G91),G91*1+IF(ISNUMBER(H91),H91,0)*5+IF(ISNUMBER(J91),J91,0)*10+IF(ISNUMBER(K91),K91,0)*3,"")</f>
        <v/>
      </c>
      <c r="P91" s="27"/>
    </row>
    <row r="92" customFormat="false" ht="15" hidden="false" customHeight="true" outlineLevel="0" collapsed="false">
      <c r="A92" s="22" t="s">
        <v>85</v>
      </c>
      <c r="B92" s="23" t="s">
        <v>63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4" t="str">
        <f aca="false">IF(AND(ISNUMBER(H92),ISNUMBER(G92),G92&gt;0),H92/G92,"")</f>
        <v/>
      </c>
      <c r="N92" s="25" t="str">
        <f aca="false">IF(AND(ISNUMBER(G92),G92&gt;0),G92/IF(ISNUMBER(ダッシュボード!D12),ダッシュボード!D12,1),"")</f>
        <v/>
      </c>
      <c r="O92" s="26" t="str">
        <f aca="false">IF(ISNUMBER(G92),G92*1+IF(ISNUMBER(H92),H92,0)*5+IF(ISNUMBER(J92),J92,0)*10+IF(ISNUMBER(K92),K92,0)*3,"")</f>
        <v/>
      </c>
      <c r="P92" s="22"/>
    </row>
    <row r="93" customFormat="false" ht="15" hidden="false" customHeight="true" outlineLevel="0" collapsed="false">
      <c r="A93" s="22" t="s">
        <v>85</v>
      </c>
      <c r="B93" s="23" t="s">
        <v>64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4" t="str">
        <f aca="false">IF(AND(ISNUMBER(H93),ISNUMBER(G93),G93&gt;0),H93/G93,"")</f>
        <v/>
      </c>
      <c r="N93" s="25" t="str">
        <f aca="false">IF(AND(ISNUMBER(G93),G93&gt;0),G93/IF(ISNUMBER(ダッシュボード!D12),ダッシュボード!D12,1),"")</f>
        <v/>
      </c>
      <c r="O93" s="26" t="str">
        <f aca="false">IF(ISNUMBER(G93),G93*1+IF(ISNUMBER(H93),H93,0)*5+IF(ISNUMBER(J93),J93,0)*10+IF(ISNUMBER(K93),K93,0)*3,"")</f>
        <v/>
      </c>
      <c r="P93" s="22"/>
    </row>
    <row r="94" customFormat="false" ht="15" hidden="false" customHeight="true" outlineLevel="0" collapsed="false">
      <c r="A94" s="22" t="s">
        <v>85</v>
      </c>
      <c r="B94" s="23" t="s">
        <v>65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4" t="str">
        <f aca="false">IF(AND(ISNUMBER(H94),ISNUMBER(G94),G94&gt;0),H94/G94,"")</f>
        <v/>
      </c>
      <c r="N94" s="25" t="str">
        <f aca="false">IF(AND(ISNUMBER(G94),G94&gt;0),G94/IF(ISNUMBER(ダッシュボード!D12),ダッシュボード!D12,1),"")</f>
        <v/>
      </c>
      <c r="O94" s="26" t="str">
        <f aca="false">IF(ISNUMBER(G94),G94*1+IF(ISNUMBER(H94),H94,0)*5+IF(ISNUMBER(J94),J94,0)*10+IF(ISNUMBER(K94),K94,0)*3,"")</f>
        <v/>
      </c>
      <c r="P94" s="22"/>
    </row>
    <row r="95" customFormat="false" ht="15" hidden="false" customHeight="true" outlineLevel="0" collapsed="false">
      <c r="A95" s="22" t="s">
        <v>85</v>
      </c>
      <c r="B95" s="23" t="s">
        <v>66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4" t="str">
        <f aca="false">IF(AND(ISNUMBER(H95),ISNUMBER(G95),G95&gt;0),H95/G95,"")</f>
        <v/>
      </c>
      <c r="N95" s="25" t="str">
        <f aca="false">IF(AND(ISNUMBER(G95),G95&gt;0),G95/IF(ISNUMBER(ダッシュボード!D12),ダッシュボード!D12,1),"")</f>
        <v/>
      </c>
      <c r="O95" s="26" t="str">
        <f aca="false">IF(ISNUMBER(G95),G95*1+IF(ISNUMBER(H95),H95,0)*5+IF(ISNUMBER(J95),J95,0)*10+IF(ISNUMBER(K95),K95,0)*3,"")</f>
        <v/>
      </c>
      <c r="P95" s="22"/>
    </row>
    <row r="96" customFormat="false" ht="15" hidden="false" customHeight="true" outlineLevel="0" collapsed="false">
      <c r="A96" s="22" t="s">
        <v>85</v>
      </c>
      <c r="B96" s="23" t="s">
        <v>67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4" t="str">
        <f aca="false">IF(AND(ISNUMBER(H96),ISNUMBER(G96),G96&gt;0),H96/G96,"")</f>
        <v/>
      </c>
      <c r="N96" s="25" t="str">
        <f aca="false">IF(AND(ISNUMBER(G96),G96&gt;0),G96/IF(ISNUMBER(ダッシュボード!D12),ダッシュボード!D12,1),"")</f>
        <v/>
      </c>
      <c r="O96" s="26" t="str">
        <f aca="false">IF(ISNUMBER(G96),G96*1+IF(ISNUMBER(H96),H96,0)*5+IF(ISNUMBER(J96),J96,0)*10+IF(ISNUMBER(K96),K96,0)*3,"")</f>
        <v/>
      </c>
      <c r="P96" s="22"/>
    </row>
    <row r="97" customFormat="false" ht="15" hidden="false" customHeight="true" outlineLevel="0" collapsed="false">
      <c r="A97" s="27" t="s">
        <v>86</v>
      </c>
      <c r="B97" s="28" t="s">
        <v>63</v>
      </c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9" t="str">
        <f aca="false">IF(AND(ISNUMBER(H97),ISNUMBER(G97),G97&gt;0),H97/G97,"")</f>
        <v/>
      </c>
      <c r="N97" s="30" t="str">
        <f aca="false">IF(AND(ISNUMBER(G97),G97&gt;0),G97/IF(ISNUMBER(ダッシュボード!D12),ダッシュボード!D12,1),"")</f>
        <v/>
      </c>
      <c r="O97" s="31" t="str">
        <f aca="false">IF(ISNUMBER(G97),G97*1+IF(ISNUMBER(H97),H97,0)*5+IF(ISNUMBER(J97),J97,0)*10+IF(ISNUMBER(K97),K97,0)*3,"")</f>
        <v/>
      </c>
      <c r="P97" s="27"/>
    </row>
    <row r="98" customFormat="false" ht="15" hidden="false" customHeight="true" outlineLevel="0" collapsed="false">
      <c r="A98" s="27" t="s">
        <v>86</v>
      </c>
      <c r="B98" s="28" t="s">
        <v>64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9" t="str">
        <f aca="false">IF(AND(ISNUMBER(H98),ISNUMBER(G98),G98&gt;0),H98/G98,"")</f>
        <v/>
      </c>
      <c r="N98" s="30" t="str">
        <f aca="false">IF(AND(ISNUMBER(G98),G98&gt;0),G98/IF(ISNUMBER(ダッシュボード!D12),ダッシュボード!D12,1),"")</f>
        <v/>
      </c>
      <c r="O98" s="31" t="str">
        <f aca="false">IF(ISNUMBER(G98),G98*1+IF(ISNUMBER(H98),H98,0)*5+IF(ISNUMBER(J98),J98,0)*10+IF(ISNUMBER(K98),K98,0)*3,"")</f>
        <v/>
      </c>
      <c r="P98" s="27"/>
    </row>
    <row r="99" customFormat="false" ht="15" hidden="false" customHeight="true" outlineLevel="0" collapsed="false">
      <c r="A99" s="27" t="s">
        <v>86</v>
      </c>
      <c r="B99" s="28" t="s">
        <v>65</v>
      </c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9" t="str">
        <f aca="false">IF(AND(ISNUMBER(H99),ISNUMBER(G99),G99&gt;0),H99/G99,"")</f>
        <v/>
      </c>
      <c r="N99" s="30" t="str">
        <f aca="false">IF(AND(ISNUMBER(G99),G99&gt;0),G99/IF(ISNUMBER(ダッシュボード!D12),ダッシュボード!D12,1),"")</f>
        <v/>
      </c>
      <c r="O99" s="31" t="str">
        <f aca="false">IF(ISNUMBER(G99),G99*1+IF(ISNUMBER(H99),H99,0)*5+IF(ISNUMBER(J99),J99,0)*10+IF(ISNUMBER(K99),K99,0)*3,"")</f>
        <v/>
      </c>
      <c r="P99" s="27"/>
    </row>
    <row r="100" customFormat="false" ht="15" hidden="false" customHeight="true" outlineLevel="0" collapsed="false">
      <c r="A100" s="27" t="s">
        <v>86</v>
      </c>
      <c r="B100" s="28" t="s">
        <v>66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9" t="str">
        <f aca="false">IF(AND(ISNUMBER(H100),ISNUMBER(G100),G100&gt;0),H100/G100,"")</f>
        <v/>
      </c>
      <c r="N100" s="30" t="str">
        <f aca="false">IF(AND(ISNUMBER(G100),G100&gt;0),G100/IF(ISNUMBER(ダッシュボード!D12),ダッシュボード!D12,1),"")</f>
        <v/>
      </c>
      <c r="O100" s="31" t="str">
        <f aca="false">IF(ISNUMBER(G100),G100*1+IF(ISNUMBER(H100),H100,0)*5+IF(ISNUMBER(J100),J100,0)*10+IF(ISNUMBER(K100),K100,0)*3,"")</f>
        <v/>
      </c>
      <c r="P100" s="27"/>
    </row>
    <row r="101" customFormat="false" ht="15" hidden="false" customHeight="true" outlineLevel="0" collapsed="false">
      <c r="A101" s="27" t="s">
        <v>86</v>
      </c>
      <c r="B101" s="28" t="s">
        <v>67</v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9" t="str">
        <f aca="false">IF(AND(ISNUMBER(H101),ISNUMBER(G101),G101&gt;0),H101/G101,"")</f>
        <v/>
      </c>
      <c r="N101" s="30" t="str">
        <f aca="false">IF(AND(ISNUMBER(G101),G101&gt;0),G101/IF(ISNUMBER(ダッシュボード!D12),ダッシュボード!D12,1),"")</f>
        <v/>
      </c>
      <c r="O101" s="31" t="str">
        <f aca="false">IF(ISNUMBER(G101),G101*1+IF(ISNUMBER(H101),H101,0)*5+IF(ISNUMBER(J101),J101,0)*10+IF(ISNUMBER(K101),K101,0)*3,"")</f>
        <v/>
      </c>
      <c r="P101" s="27"/>
    </row>
    <row r="102" customFormat="false" ht="15" hidden="false" customHeight="true" outlineLevel="0" collapsed="false">
      <c r="A102" s="22" t="s">
        <v>87</v>
      </c>
      <c r="B102" s="23" t="s">
        <v>63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4" t="str">
        <f aca="false">IF(AND(ISNUMBER(H102),ISNUMBER(G102),G102&gt;0),H102/G102,"")</f>
        <v/>
      </c>
      <c r="N102" s="25" t="str">
        <f aca="false">IF(AND(ISNUMBER(G102),G102&gt;0),G102/IF(ISNUMBER(ダッシュボード!D12),ダッシュボード!D12,1),"")</f>
        <v/>
      </c>
      <c r="O102" s="26" t="str">
        <f aca="false">IF(ISNUMBER(G102),G102*1+IF(ISNUMBER(H102),H102,0)*5+IF(ISNUMBER(J102),J102,0)*10+IF(ISNUMBER(K102),K102,0)*3,"")</f>
        <v/>
      </c>
      <c r="P102" s="22"/>
    </row>
    <row r="103" customFormat="false" ht="15" hidden="false" customHeight="true" outlineLevel="0" collapsed="false">
      <c r="A103" s="22" t="s">
        <v>87</v>
      </c>
      <c r="B103" s="23" t="s">
        <v>64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4" t="str">
        <f aca="false">IF(AND(ISNUMBER(H103),ISNUMBER(G103),G103&gt;0),H103/G103,"")</f>
        <v/>
      </c>
      <c r="N103" s="25" t="str">
        <f aca="false">IF(AND(ISNUMBER(G103),G103&gt;0),G103/IF(ISNUMBER(ダッシュボード!D12),ダッシュボード!D12,1),"")</f>
        <v/>
      </c>
      <c r="O103" s="26" t="str">
        <f aca="false">IF(ISNUMBER(G103),G103*1+IF(ISNUMBER(H103),H103,0)*5+IF(ISNUMBER(J103),J103,0)*10+IF(ISNUMBER(K103),K103,0)*3,"")</f>
        <v/>
      </c>
      <c r="P103" s="22"/>
    </row>
    <row r="104" customFormat="false" ht="15" hidden="false" customHeight="true" outlineLevel="0" collapsed="false">
      <c r="A104" s="22" t="s">
        <v>87</v>
      </c>
      <c r="B104" s="23" t="s">
        <v>65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4" t="str">
        <f aca="false">IF(AND(ISNUMBER(H104),ISNUMBER(G104),G104&gt;0),H104/G104,"")</f>
        <v/>
      </c>
      <c r="N104" s="25" t="str">
        <f aca="false">IF(AND(ISNUMBER(G104),G104&gt;0),G104/IF(ISNUMBER(ダッシュボード!D12),ダッシュボード!D12,1),"")</f>
        <v/>
      </c>
      <c r="O104" s="26" t="str">
        <f aca="false">IF(ISNUMBER(G104),G104*1+IF(ISNUMBER(H104),H104,0)*5+IF(ISNUMBER(J104),J104,0)*10+IF(ISNUMBER(K104),K104,0)*3,"")</f>
        <v/>
      </c>
      <c r="P104" s="22"/>
    </row>
    <row r="105" customFormat="false" ht="15" hidden="false" customHeight="true" outlineLevel="0" collapsed="false">
      <c r="A105" s="22" t="s">
        <v>87</v>
      </c>
      <c r="B105" s="23" t="s">
        <v>66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4" t="str">
        <f aca="false">IF(AND(ISNUMBER(H105),ISNUMBER(G105),G105&gt;0),H105/G105,"")</f>
        <v/>
      </c>
      <c r="N105" s="25" t="str">
        <f aca="false">IF(AND(ISNUMBER(G105),G105&gt;0),G105/IF(ISNUMBER(ダッシュボード!D12),ダッシュボード!D12,1),"")</f>
        <v/>
      </c>
      <c r="O105" s="26" t="str">
        <f aca="false">IF(ISNUMBER(G105),G105*1+IF(ISNUMBER(H105),H105,0)*5+IF(ISNUMBER(J105),J105,0)*10+IF(ISNUMBER(K105),K105,0)*3,"")</f>
        <v/>
      </c>
      <c r="P105" s="22"/>
    </row>
    <row r="106" customFormat="false" ht="15" hidden="false" customHeight="true" outlineLevel="0" collapsed="false">
      <c r="A106" s="22" t="s">
        <v>87</v>
      </c>
      <c r="B106" s="23" t="s">
        <v>67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4" t="str">
        <f aca="false">IF(AND(ISNUMBER(H106),ISNUMBER(G106),G106&gt;0),H106/G106,"")</f>
        <v/>
      </c>
      <c r="N106" s="25" t="str">
        <f aca="false">IF(AND(ISNUMBER(G106),G106&gt;0),G106/IF(ISNUMBER(ダッシュボード!D12),ダッシュボード!D12,1),"")</f>
        <v/>
      </c>
      <c r="O106" s="26" t="str">
        <f aca="false">IF(ISNUMBER(G106),G106*1+IF(ISNUMBER(H106),H106,0)*5+IF(ISNUMBER(J106),J106,0)*10+IF(ISNUMBER(K106),K106,0)*3,"")</f>
        <v/>
      </c>
      <c r="P106" s="22"/>
    </row>
    <row r="107" customFormat="false" ht="15" hidden="false" customHeight="true" outlineLevel="0" collapsed="false">
      <c r="A107" s="27" t="s">
        <v>88</v>
      </c>
      <c r="B107" s="28" t="s">
        <v>63</v>
      </c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9" t="str">
        <f aca="false">IF(AND(ISNUMBER(H107),ISNUMBER(G107),G107&gt;0),H107/G107,"")</f>
        <v/>
      </c>
      <c r="N107" s="30" t="str">
        <f aca="false">IF(AND(ISNUMBER(G107),G107&gt;0),G107/IF(ISNUMBER(ダッシュボード!D12),ダッシュボード!D12,1),"")</f>
        <v/>
      </c>
      <c r="O107" s="31" t="str">
        <f aca="false">IF(ISNUMBER(G107),G107*1+IF(ISNUMBER(H107),H107,0)*5+IF(ISNUMBER(J107),J107,0)*10+IF(ISNUMBER(K107),K107,0)*3,"")</f>
        <v/>
      </c>
      <c r="P107" s="27"/>
    </row>
    <row r="108" customFormat="false" ht="15" hidden="false" customHeight="true" outlineLevel="0" collapsed="false">
      <c r="A108" s="27" t="s">
        <v>88</v>
      </c>
      <c r="B108" s="28" t="s">
        <v>64</v>
      </c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9" t="str">
        <f aca="false">IF(AND(ISNUMBER(H108),ISNUMBER(G108),G108&gt;0),H108/G108,"")</f>
        <v/>
      </c>
      <c r="N108" s="30" t="str">
        <f aca="false">IF(AND(ISNUMBER(G108),G108&gt;0),G108/IF(ISNUMBER(ダッシュボード!D12),ダッシュボード!D12,1),"")</f>
        <v/>
      </c>
      <c r="O108" s="31" t="str">
        <f aca="false">IF(ISNUMBER(G108),G108*1+IF(ISNUMBER(H108),H108,0)*5+IF(ISNUMBER(J108),J108,0)*10+IF(ISNUMBER(K108),K108,0)*3,"")</f>
        <v/>
      </c>
      <c r="P108" s="27"/>
    </row>
    <row r="109" customFormat="false" ht="15" hidden="false" customHeight="true" outlineLevel="0" collapsed="false">
      <c r="A109" s="27" t="s">
        <v>88</v>
      </c>
      <c r="B109" s="28" t="s">
        <v>65</v>
      </c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9" t="str">
        <f aca="false">IF(AND(ISNUMBER(H109),ISNUMBER(G109),G109&gt;0),H109/G109,"")</f>
        <v/>
      </c>
      <c r="N109" s="30" t="str">
        <f aca="false">IF(AND(ISNUMBER(G109),G109&gt;0),G109/IF(ISNUMBER(ダッシュボード!D12),ダッシュボード!D12,1),"")</f>
        <v/>
      </c>
      <c r="O109" s="31" t="str">
        <f aca="false">IF(ISNUMBER(G109),G109*1+IF(ISNUMBER(H109),H109,0)*5+IF(ISNUMBER(J109),J109,0)*10+IF(ISNUMBER(K109),K109,0)*3,"")</f>
        <v/>
      </c>
      <c r="P109" s="27"/>
    </row>
    <row r="110" customFormat="false" ht="15" hidden="false" customHeight="true" outlineLevel="0" collapsed="false">
      <c r="A110" s="27" t="s">
        <v>88</v>
      </c>
      <c r="B110" s="28" t="s">
        <v>66</v>
      </c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9" t="str">
        <f aca="false">IF(AND(ISNUMBER(H110),ISNUMBER(G110),G110&gt;0),H110/G110,"")</f>
        <v/>
      </c>
      <c r="N110" s="30" t="str">
        <f aca="false">IF(AND(ISNUMBER(G110),G110&gt;0),G110/IF(ISNUMBER(ダッシュボード!D12),ダッシュボード!D12,1),"")</f>
        <v/>
      </c>
      <c r="O110" s="31" t="str">
        <f aca="false">IF(ISNUMBER(G110),G110*1+IF(ISNUMBER(H110),H110,0)*5+IF(ISNUMBER(J110),J110,0)*10+IF(ISNUMBER(K110),K110,0)*3,"")</f>
        <v/>
      </c>
      <c r="P110" s="27"/>
    </row>
    <row r="111" customFormat="false" ht="15" hidden="false" customHeight="true" outlineLevel="0" collapsed="false">
      <c r="A111" s="27" t="s">
        <v>88</v>
      </c>
      <c r="B111" s="28" t="s">
        <v>67</v>
      </c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9" t="str">
        <f aca="false">IF(AND(ISNUMBER(H111),ISNUMBER(G111),G111&gt;0),H111/G111,"")</f>
        <v/>
      </c>
      <c r="N111" s="30" t="str">
        <f aca="false">IF(AND(ISNUMBER(G111),G111&gt;0),G111/IF(ISNUMBER(ダッシュボード!D12),ダッシュボード!D12,1),"")</f>
        <v/>
      </c>
      <c r="O111" s="31" t="str">
        <f aca="false">IF(ISNUMBER(G111),G111*1+IF(ISNUMBER(H111),H111,0)*5+IF(ISNUMBER(J111),J111,0)*10+IF(ISNUMBER(K111),K111,0)*3,"")</f>
        <v/>
      </c>
      <c r="P111" s="27"/>
    </row>
    <row r="112" customFormat="false" ht="15" hidden="false" customHeight="true" outlineLevel="0" collapsed="false">
      <c r="A112" s="22" t="s">
        <v>89</v>
      </c>
      <c r="B112" s="23" t="s">
        <v>63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4" t="str">
        <f aca="false">IF(AND(ISNUMBER(H112),ISNUMBER(G112),G112&gt;0),H112/G112,"")</f>
        <v/>
      </c>
      <c r="N112" s="25" t="str">
        <f aca="false">IF(AND(ISNUMBER(G112),G112&gt;0),G112/IF(ISNUMBER(ダッシュボード!D12),ダッシュボード!D12,1),"")</f>
        <v/>
      </c>
      <c r="O112" s="26" t="str">
        <f aca="false">IF(ISNUMBER(G112),G112*1+IF(ISNUMBER(H112),H112,0)*5+IF(ISNUMBER(J112),J112,0)*10+IF(ISNUMBER(K112),K112,0)*3,"")</f>
        <v/>
      </c>
      <c r="P112" s="22"/>
    </row>
    <row r="113" customFormat="false" ht="15" hidden="false" customHeight="true" outlineLevel="0" collapsed="false">
      <c r="A113" s="22" t="s">
        <v>89</v>
      </c>
      <c r="B113" s="23" t="s">
        <v>64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4" t="str">
        <f aca="false">IF(AND(ISNUMBER(H113),ISNUMBER(G113),G113&gt;0),H113/G113,"")</f>
        <v/>
      </c>
      <c r="N113" s="25" t="str">
        <f aca="false">IF(AND(ISNUMBER(G113),G113&gt;0),G113/IF(ISNUMBER(ダッシュボード!D12),ダッシュボード!D12,1),"")</f>
        <v/>
      </c>
      <c r="O113" s="26" t="str">
        <f aca="false">IF(ISNUMBER(G113),G113*1+IF(ISNUMBER(H113),H113,0)*5+IF(ISNUMBER(J113),J113,0)*10+IF(ISNUMBER(K113),K113,0)*3,"")</f>
        <v/>
      </c>
      <c r="P113" s="22"/>
    </row>
    <row r="114" customFormat="false" ht="15" hidden="false" customHeight="true" outlineLevel="0" collapsed="false">
      <c r="A114" s="22" t="s">
        <v>89</v>
      </c>
      <c r="B114" s="23" t="s">
        <v>65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4" t="str">
        <f aca="false">IF(AND(ISNUMBER(H114),ISNUMBER(G114),G114&gt;0),H114/G114,"")</f>
        <v/>
      </c>
      <c r="N114" s="25" t="str">
        <f aca="false">IF(AND(ISNUMBER(G114),G114&gt;0),G114/IF(ISNUMBER(ダッシュボード!D12),ダッシュボード!D12,1),"")</f>
        <v/>
      </c>
      <c r="O114" s="26" t="str">
        <f aca="false">IF(ISNUMBER(G114),G114*1+IF(ISNUMBER(H114),H114,0)*5+IF(ISNUMBER(J114),J114,0)*10+IF(ISNUMBER(K114),K114,0)*3,"")</f>
        <v/>
      </c>
      <c r="P114" s="22"/>
    </row>
    <row r="115" customFormat="false" ht="15" hidden="false" customHeight="true" outlineLevel="0" collapsed="false">
      <c r="A115" s="22" t="s">
        <v>89</v>
      </c>
      <c r="B115" s="23" t="s">
        <v>66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4" t="str">
        <f aca="false">IF(AND(ISNUMBER(H115),ISNUMBER(G115),G115&gt;0),H115/G115,"")</f>
        <v/>
      </c>
      <c r="N115" s="25" t="str">
        <f aca="false">IF(AND(ISNUMBER(G115),G115&gt;0),G115/IF(ISNUMBER(ダッシュボード!D12),ダッシュボード!D12,1),"")</f>
        <v/>
      </c>
      <c r="O115" s="26" t="str">
        <f aca="false">IF(ISNUMBER(G115),G115*1+IF(ISNUMBER(H115),H115,0)*5+IF(ISNUMBER(J115),J115,0)*10+IF(ISNUMBER(K115),K115,0)*3,"")</f>
        <v/>
      </c>
      <c r="P115" s="22"/>
    </row>
    <row r="116" customFormat="false" ht="15" hidden="false" customHeight="true" outlineLevel="0" collapsed="false">
      <c r="A116" s="22" t="s">
        <v>89</v>
      </c>
      <c r="B116" s="23" t="s">
        <v>67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4" t="str">
        <f aca="false">IF(AND(ISNUMBER(H116),ISNUMBER(G116),G116&gt;0),H116/G116,"")</f>
        <v/>
      </c>
      <c r="N116" s="25" t="str">
        <f aca="false">IF(AND(ISNUMBER(G116),G116&gt;0),G116/IF(ISNUMBER(ダッシュボード!D12),ダッシュボード!D12,1),"")</f>
        <v/>
      </c>
      <c r="O116" s="26" t="str">
        <f aca="false">IF(ISNUMBER(G116),G116*1+IF(ISNUMBER(H116),H116,0)*5+IF(ISNUMBER(J116),J116,0)*10+IF(ISNUMBER(K116),K116,0)*3,"")</f>
        <v/>
      </c>
      <c r="P116" s="22"/>
    </row>
    <row r="117" customFormat="false" ht="15" hidden="false" customHeight="true" outlineLevel="0" collapsed="false">
      <c r="A117" s="27" t="s">
        <v>90</v>
      </c>
      <c r="B117" s="28" t="s">
        <v>63</v>
      </c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9" t="str">
        <f aca="false">IF(AND(ISNUMBER(H117),ISNUMBER(G117),G117&gt;0),H117/G117,"")</f>
        <v/>
      </c>
      <c r="N117" s="30" t="str">
        <f aca="false">IF(AND(ISNUMBER(G117),G117&gt;0),G117/IF(ISNUMBER(ダッシュボード!D12),ダッシュボード!D12,1),"")</f>
        <v/>
      </c>
      <c r="O117" s="31" t="str">
        <f aca="false">IF(ISNUMBER(G117),G117*1+IF(ISNUMBER(H117),H117,0)*5+IF(ISNUMBER(J117),J117,0)*10+IF(ISNUMBER(K117),K117,0)*3,"")</f>
        <v/>
      </c>
      <c r="P117" s="27"/>
    </row>
    <row r="118" customFormat="false" ht="15" hidden="false" customHeight="true" outlineLevel="0" collapsed="false">
      <c r="A118" s="27" t="s">
        <v>90</v>
      </c>
      <c r="B118" s="28" t="s">
        <v>64</v>
      </c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9" t="str">
        <f aca="false">IF(AND(ISNUMBER(H118),ISNUMBER(G118),G118&gt;0),H118/G118,"")</f>
        <v/>
      </c>
      <c r="N118" s="30" t="str">
        <f aca="false">IF(AND(ISNUMBER(G118),G118&gt;0),G118/IF(ISNUMBER(ダッシュボード!D12),ダッシュボード!D12,1),"")</f>
        <v/>
      </c>
      <c r="O118" s="31" t="str">
        <f aca="false">IF(ISNUMBER(G118),G118*1+IF(ISNUMBER(H118),H118,0)*5+IF(ISNUMBER(J118),J118,0)*10+IF(ISNUMBER(K118),K118,0)*3,"")</f>
        <v/>
      </c>
      <c r="P118" s="27"/>
    </row>
    <row r="119" customFormat="false" ht="15" hidden="false" customHeight="true" outlineLevel="0" collapsed="false">
      <c r="A119" s="27" t="s">
        <v>90</v>
      </c>
      <c r="B119" s="28" t="s">
        <v>65</v>
      </c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9" t="str">
        <f aca="false">IF(AND(ISNUMBER(H119),ISNUMBER(G119),G119&gt;0),H119/G119,"")</f>
        <v/>
      </c>
      <c r="N119" s="30" t="str">
        <f aca="false">IF(AND(ISNUMBER(G119),G119&gt;0),G119/IF(ISNUMBER(ダッシュボード!D12),ダッシュボード!D12,1),"")</f>
        <v/>
      </c>
      <c r="O119" s="31" t="str">
        <f aca="false">IF(ISNUMBER(G119),G119*1+IF(ISNUMBER(H119),H119,0)*5+IF(ISNUMBER(J119),J119,0)*10+IF(ISNUMBER(K119),K119,0)*3,"")</f>
        <v/>
      </c>
      <c r="P119" s="27"/>
    </row>
    <row r="120" customFormat="false" ht="15" hidden="false" customHeight="true" outlineLevel="0" collapsed="false">
      <c r="A120" s="27" t="s">
        <v>90</v>
      </c>
      <c r="B120" s="28" t="s">
        <v>66</v>
      </c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9" t="str">
        <f aca="false">IF(AND(ISNUMBER(H120),ISNUMBER(G120),G120&gt;0),H120/G120,"")</f>
        <v/>
      </c>
      <c r="N120" s="30" t="str">
        <f aca="false">IF(AND(ISNUMBER(G120),G120&gt;0),G120/IF(ISNUMBER(ダッシュボード!D12),ダッシュボード!D12,1),"")</f>
        <v/>
      </c>
      <c r="O120" s="31" t="str">
        <f aca="false">IF(ISNUMBER(G120),G120*1+IF(ISNUMBER(H120),H120,0)*5+IF(ISNUMBER(J120),J120,0)*10+IF(ISNUMBER(K120),K120,0)*3,"")</f>
        <v/>
      </c>
      <c r="P120" s="27"/>
    </row>
    <row r="121" customFormat="false" ht="15" hidden="false" customHeight="true" outlineLevel="0" collapsed="false">
      <c r="A121" s="27" t="s">
        <v>90</v>
      </c>
      <c r="B121" s="28" t="s">
        <v>67</v>
      </c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9" t="str">
        <f aca="false">IF(AND(ISNUMBER(H121),ISNUMBER(G121),G121&gt;0),H121/G121,"")</f>
        <v/>
      </c>
      <c r="N121" s="30" t="str">
        <f aca="false">IF(AND(ISNUMBER(G121),G121&gt;0),G121/IF(ISNUMBER(ダッシュボード!D12),ダッシュボード!D12,1),"")</f>
        <v/>
      </c>
      <c r="O121" s="31" t="str">
        <f aca="false">IF(ISNUMBER(G121),G121*1+IF(ISNUMBER(H121),H121,0)*5+IF(ISNUMBER(J121),J121,0)*10+IF(ISNUMBER(K121),K121,0)*3,"")</f>
        <v/>
      </c>
      <c r="P121" s="27"/>
    </row>
    <row r="122" customFormat="false" ht="15" hidden="false" customHeight="true" outlineLevel="0" collapsed="false">
      <c r="A122" s="22" t="s">
        <v>91</v>
      </c>
      <c r="B122" s="23" t="s">
        <v>63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4" t="str">
        <f aca="false">IF(AND(ISNUMBER(H122),ISNUMBER(G122),G122&gt;0),H122/G122,"")</f>
        <v/>
      </c>
      <c r="N122" s="25" t="str">
        <f aca="false">IF(AND(ISNUMBER(G122),G122&gt;0),G122/IF(ISNUMBER(ダッシュボード!D12),ダッシュボード!D12,1),"")</f>
        <v/>
      </c>
      <c r="O122" s="26" t="str">
        <f aca="false">IF(ISNUMBER(G122),G122*1+IF(ISNUMBER(H122),H122,0)*5+IF(ISNUMBER(J122),J122,0)*10+IF(ISNUMBER(K122),K122,0)*3,"")</f>
        <v/>
      </c>
      <c r="P122" s="22"/>
    </row>
    <row r="123" customFormat="false" ht="15" hidden="false" customHeight="true" outlineLevel="0" collapsed="false">
      <c r="A123" s="22" t="s">
        <v>91</v>
      </c>
      <c r="B123" s="23" t="s">
        <v>64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4" t="str">
        <f aca="false">IF(AND(ISNUMBER(H123),ISNUMBER(G123),G123&gt;0),H123/G123,"")</f>
        <v/>
      </c>
      <c r="N123" s="25" t="str">
        <f aca="false">IF(AND(ISNUMBER(G123),G123&gt;0),G123/IF(ISNUMBER(ダッシュボード!D12),ダッシュボード!D12,1),"")</f>
        <v/>
      </c>
      <c r="O123" s="26" t="str">
        <f aca="false">IF(ISNUMBER(G123),G123*1+IF(ISNUMBER(H123),H123,0)*5+IF(ISNUMBER(J123),J123,0)*10+IF(ISNUMBER(K123),K123,0)*3,"")</f>
        <v/>
      </c>
      <c r="P123" s="22"/>
    </row>
    <row r="124" customFormat="false" ht="15" hidden="false" customHeight="true" outlineLevel="0" collapsed="false">
      <c r="A124" s="22" t="s">
        <v>91</v>
      </c>
      <c r="B124" s="23" t="s">
        <v>65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4" t="str">
        <f aca="false">IF(AND(ISNUMBER(H124),ISNUMBER(G124),G124&gt;0),H124/G124,"")</f>
        <v/>
      </c>
      <c r="N124" s="25" t="str">
        <f aca="false">IF(AND(ISNUMBER(G124),G124&gt;0),G124/IF(ISNUMBER(ダッシュボード!D12),ダッシュボード!D12,1),"")</f>
        <v/>
      </c>
      <c r="O124" s="26" t="str">
        <f aca="false">IF(ISNUMBER(G124),G124*1+IF(ISNUMBER(H124),H124,0)*5+IF(ISNUMBER(J124),J124,0)*10+IF(ISNUMBER(K124),K124,0)*3,"")</f>
        <v/>
      </c>
      <c r="P124" s="22"/>
    </row>
    <row r="125" customFormat="false" ht="15" hidden="false" customHeight="true" outlineLevel="0" collapsed="false">
      <c r="A125" s="22" t="s">
        <v>91</v>
      </c>
      <c r="B125" s="23" t="s">
        <v>66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4" t="str">
        <f aca="false">IF(AND(ISNUMBER(H125),ISNUMBER(G125),G125&gt;0),H125/G125,"")</f>
        <v/>
      </c>
      <c r="N125" s="25" t="str">
        <f aca="false">IF(AND(ISNUMBER(G125),G125&gt;0),G125/IF(ISNUMBER(ダッシュボード!D12),ダッシュボード!D12,1),"")</f>
        <v/>
      </c>
      <c r="O125" s="26" t="str">
        <f aca="false">IF(ISNUMBER(G125),G125*1+IF(ISNUMBER(H125),H125,0)*5+IF(ISNUMBER(J125),J125,0)*10+IF(ISNUMBER(K125),K125,0)*3,"")</f>
        <v/>
      </c>
      <c r="P125" s="22"/>
    </row>
    <row r="126" customFormat="false" ht="15" hidden="false" customHeight="true" outlineLevel="0" collapsed="false">
      <c r="A126" s="22" t="s">
        <v>91</v>
      </c>
      <c r="B126" s="23" t="s">
        <v>67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4" t="str">
        <f aca="false">IF(AND(ISNUMBER(H126),ISNUMBER(G126),G126&gt;0),H126/G126,"")</f>
        <v/>
      </c>
      <c r="N126" s="25" t="str">
        <f aca="false">IF(AND(ISNUMBER(G126),G126&gt;0),G126/IF(ISNUMBER(ダッシュボード!D12),ダッシュボード!D12,1),"")</f>
        <v/>
      </c>
      <c r="O126" s="26" t="str">
        <f aca="false">IF(ISNUMBER(G126),G126*1+IF(ISNUMBER(H126),H126,0)*5+IF(ISNUMBER(J126),J126,0)*10+IF(ISNUMBER(K126),K126,0)*3,"")</f>
        <v/>
      </c>
      <c r="P126" s="22"/>
    </row>
    <row r="127" customFormat="false" ht="15" hidden="false" customHeight="true" outlineLevel="0" collapsed="false">
      <c r="A127" s="27" t="s">
        <v>92</v>
      </c>
      <c r="B127" s="28" t="s">
        <v>63</v>
      </c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9" t="str">
        <f aca="false">IF(AND(ISNUMBER(H127),ISNUMBER(G127),G127&gt;0),H127/G127,"")</f>
        <v/>
      </c>
      <c r="N127" s="30" t="str">
        <f aca="false">IF(AND(ISNUMBER(G127),G127&gt;0),G127/IF(ISNUMBER(ダッシュボード!D12),ダッシュボード!D12,1),"")</f>
        <v/>
      </c>
      <c r="O127" s="31" t="str">
        <f aca="false">IF(ISNUMBER(G127),G127*1+IF(ISNUMBER(H127),H127,0)*5+IF(ISNUMBER(J127),J127,0)*10+IF(ISNUMBER(K127),K127,0)*3,"")</f>
        <v/>
      </c>
      <c r="P127" s="27"/>
    </row>
    <row r="128" customFormat="false" ht="15" hidden="false" customHeight="true" outlineLevel="0" collapsed="false">
      <c r="A128" s="27" t="s">
        <v>92</v>
      </c>
      <c r="B128" s="28" t="s">
        <v>64</v>
      </c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9" t="str">
        <f aca="false">IF(AND(ISNUMBER(H128),ISNUMBER(G128),G128&gt;0),H128/G128,"")</f>
        <v/>
      </c>
      <c r="N128" s="30" t="str">
        <f aca="false">IF(AND(ISNUMBER(G128),G128&gt;0),G128/IF(ISNUMBER(ダッシュボード!D12),ダッシュボード!D12,1),"")</f>
        <v/>
      </c>
      <c r="O128" s="31" t="str">
        <f aca="false">IF(ISNUMBER(G128),G128*1+IF(ISNUMBER(H128),H128,0)*5+IF(ISNUMBER(J128),J128,0)*10+IF(ISNUMBER(K128),K128,0)*3,"")</f>
        <v/>
      </c>
      <c r="P128" s="27"/>
    </row>
    <row r="129" customFormat="false" ht="15" hidden="false" customHeight="true" outlineLevel="0" collapsed="false">
      <c r="A129" s="27" t="s">
        <v>92</v>
      </c>
      <c r="B129" s="28" t="s">
        <v>65</v>
      </c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9" t="str">
        <f aca="false">IF(AND(ISNUMBER(H129),ISNUMBER(G129),G129&gt;0),H129/G129,"")</f>
        <v/>
      </c>
      <c r="N129" s="30" t="str">
        <f aca="false">IF(AND(ISNUMBER(G129),G129&gt;0),G129/IF(ISNUMBER(ダッシュボード!D12),ダッシュボード!D12,1),"")</f>
        <v/>
      </c>
      <c r="O129" s="31" t="str">
        <f aca="false">IF(ISNUMBER(G129),G129*1+IF(ISNUMBER(H129),H129,0)*5+IF(ISNUMBER(J129),J129,0)*10+IF(ISNUMBER(K129),K129,0)*3,"")</f>
        <v/>
      </c>
      <c r="P129" s="27"/>
    </row>
    <row r="130" customFormat="false" ht="15" hidden="false" customHeight="true" outlineLevel="0" collapsed="false">
      <c r="A130" s="27" t="s">
        <v>92</v>
      </c>
      <c r="B130" s="28" t="s">
        <v>66</v>
      </c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9" t="str">
        <f aca="false">IF(AND(ISNUMBER(H130),ISNUMBER(G130),G130&gt;0),H130/G130,"")</f>
        <v/>
      </c>
      <c r="N130" s="30" t="str">
        <f aca="false">IF(AND(ISNUMBER(G130),G130&gt;0),G130/IF(ISNUMBER(ダッシュボード!D12),ダッシュボード!D12,1),"")</f>
        <v/>
      </c>
      <c r="O130" s="31" t="str">
        <f aca="false">IF(ISNUMBER(G130),G130*1+IF(ISNUMBER(H130),H130,0)*5+IF(ISNUMBER(J130),J130,0)*10+IF(ISNUMBER(K130),K130,0)*3,"")</f>
        <v/>
      </c>
      <c r="P130" s="27"/>
    </row>
    <row r="131" customFormat="false" ht="15" hidden="false" customHeight="true" outlineLevel="0" collapsed="false">
      <c r="A131" s="27" t="s">
        <v>92</v>
      </c>
      <c r="B131" s="28" t="s">
        <v>67</v>
      </c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9" t="str">
        <f aca="false">IF(AND(ISNUMBER(H131),ISNUMBER(G131),G131&gt;0),H131/G131,"")</f>
        <v/>
      </c>
      <c r="N131" s="30" t="str">
        <f aca="false">IF(AND(ISNUMBER(G131),G131&gt;0),G131/IF(ISNUMBER(ダッシュボード!D12),ダッシュボード!D12,1),"")</f>
        <v/>
      </c>
      <c r="O131" s="31" t="str">
        <f aca="false">IF(ISNUMBER(G131),G131*1+IF(ISNUMBER(H131),H131,0)*5+IF(ISNUMBER(J131),J131,0)*10+IF(ISNUMBER(K131),K131,0)*3,"")</f>
        <v/>
      </c>
      <c r="P131" s="27"/>
    </row>
    <row r="132" customFormat="false" ht="15" hidden="false" customHeight="true" outlineLevel="0" collapsed="false">
      <c r="A132" s="22" t="s">
        <v>93</v>
      </c>
      <c r="B132" s="23" t="s">
        <v>63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4" t="str">
        <f aca="false">IF(AND(ISNUMBER(H132),ISNUMBER(G132),G132&gt;0),H132/G132,"")</f>
        <v/>
      </c>
      <c r="N132" s="25" t="str">
        <f aca="false">IF(AND(ISNUMBER(G132),G132&gt;0),G132/IF(ISNUMBER(ダッシュボード!D12),ダッシュボード!D12,1),"")</f>
        <v/>
      </c>
      <c r="O132" s="26" t="str">
        <f aca="false">IF(ISNUMBER(G132),G132*1+IF(ISNUMBER(H132),H132,0)*5+IF(ISNUMBER(J132),J132,0)*10+IF(ISNUMBER(K132),K132,0)*3,"")</f>
        <v/>
      </c>
      <c r="P132" s="22"/>
    </row>
    <row r="133" customFormat="false" ht="15" hidden="false" customHeight="true" outlineLevel="0" collapsed="false">
      <c r="A133" s="22" t="s">
        <v>93</v>
      </c>
      <c r="B133" s="23" t="s">
        <v>64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4" t="str">
        <f aca="false">IF(AND(ISNUMBER(H133),ISNUMBER(G133),G133&gt;0),H133/G133,"")</f>
        <v/>
      </c>
      <c r="N133" s="25" t="str">
        <f aca="false">IF(AND(ISNUMBER(G133),G133&gt;0),G133/IF(ISNUMBER(ダッシュボード!D12),ダッシュボード!D12,1),"")</f>
        <v/>
      </c>
      <c r="O133" s="26" t="str">
        <f aca="false">IF(ISNUMBER(G133),G133*1+IF(ISNUMBER(H133),H133,0)*5+IF(ISNUMBER(J133),J133,0)*10+IF(ISNUMBER(K133),K133,0)*3,"")</f>
        <v/>
      </c>
      <c r="P133" s="22"/>
    </row>
    <row r="134" customFormat="false" ht="15" hidden="false" customHeight="true" outlineLevel="0" collapsed="false">
      <c r="A134" s="22" t="s">
        <v>93</v>
      </c>
      <c r="B134" s="23" t="s">
        <v>65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4" t="str">
        <f aca="false">IF(AND(ISNUMBER(H134),ISNUMBER(G134),G134&gt;0),H134/G134,"")</f>
        <v/>
      </c>
      <c r="N134" s="25" t="str">
        <f aca="false">IF(AND(ISNUMBER(G134),G134&gt;0),G134/IF(ISNUMBER(ダッシュボード!D12),ダッシュボード!D12,1),"")</f>
        <v/>
      </c>
      <c r="O134" s="26" t="str">
        <f aca="false">IF(ISNUMBER(G134),G134*1+IF(ISNUMBER(H134),H134,0)*5+IF(ISNUMBER(J134),J134,0)*10+IF(ISNUMBER(K134),K134,0)*3,"")</f>
        <v/>
      </c>
      <c r="P134" s="22"/>
    </row>
    <row r="135" customFormat="false" ht="15" hidden="false" customHeight="true" outlineLevel="0" collapsed="false">
      <c r="A135" s="22" t="s">
        <v>93</v>
      </c>
      <c r="B135" s="23" t="s">
        <v>66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4" t="str">
        <f aca="false">IF(AND(ISNUMBER(H135),ISNUMBER(G135),G135&gt;0),H135/G135,"")</f>
        <v/>
      </c>
      <c r="N135" s="25" t="str">
        <f aca="false">IF(AND(ISNUMBER(G135),G135&gt;0),G135/IF(ISNUMBER(ダッシュボード!D12),ダッシュボード!D12,1),"")</f>
        <v/>
      </c>
      <c r="O135" s="26" t="str">
        <f aca="false">IF(ISNUMBER(G135),G135*1+IF(ISNUMBER(H135),H135,0)*5+IF(ISNUMBER(J135),J135,0)*10+IF(ISNUMBER(K135),K135,0)*3,"")</f>
        <v/>
      </c>
      <c r="P135" s="22"/>
    </row>
    <row r="136" customFormat="false" ht="15" hidden="false" customHeight="true" outlineLevel="0" collapsed="false">
      <c r="A136" s="22" t="s">
        <v>93</v>
      </c>
      <c r="B136" s="23" t="s">
        <v>67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4" t="str">
        <f aca="false">IF(AND(ISNUMBER(H136),ISNUMBER(G136),G136&gt;0),H136/G136,"")</f>
        <v/>
      </c>
      <c r="N136" s="25" t="str">
        <f aca="false">IF(AND(ISNUMBER(G136),G136&gt;0),G136/IF(ISNUMBER(ダッシュボード!D12),ダッシュボード!D12,1),"")</f>
        <v/>
      </c>
      <c r="O136" s="26" t="str">
        <f aca="false">IF(ISNUMBER(G136),G136*1+IF(ISNUMBER(H136),H136,0)*5+IF(ISNUMBER(J136),J136,0)*10+IF(ISNUMBER(K136),K136,0)*3,"")</f>
        <v/>
      </c>
      <c r="P136" s="22"/>
    </row>
    <row r="137" customFormat="false" ht="15" hidden="false" customHeight="true" outlineLevel="0" collapsed="false">
      <c r="A137" s="27" t="s">
        <v>94</v>
      </c>
      <c r="B137" s="28" t="s">
        <v>63</v>
      </c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9" t="str">
        <f aca="false">IF(AND(ISNUMBER(H137),ISNUMBER(G137),G137&gt;0),H137/G137,"")</f>
        <v/>
      </c>
      <c r="N137" s="30" t="str">
        <f aca="false">IF(AND(ISNUMBER(G137),G137&gt;0),G137/IF(ISNUMBER(ダッシュボード!D12),ダッシュボード!D12,1),"")</f>
        <v/>
      </c>
      <c r="O137" s="31" t="str">
        <f aca="false">IF(ISNUMBER(G137),G137*1+IF(ISNUMBER(H137),H137,0)*5+IF(ISNUMBER(J137),J137,0)*10+IF(ISNUMBER(K137),K137,0)*3,"")</f>
        <v/>
      </c>
      <c r="P137" s="27"/>
    </row>
    <row r="138" customFormat="false" ht="15" hidden="false" customHeight="true" outlineLevel="0" collapsed="false">
      <c r="A138" s="27" t="s">
        <v>94</v>
      </c>
      <c r="B138" s="28" t="s">
        <v>64</v>
      </c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9" t="str">
        <f aca="false">IF(AND(ISNUMBER(H138),ISNUMBER(G138),G138&gt;0),H138/G138,"")</f>
        <v/>
      </c>
      <c r="N138" s="30" t="str">
        <f aca="false">IF(AND(ISNUMBER(G138),G138&gt;0),G138/IF(ISNUMBER(ダッシュボード!D12),ダッシュボード!D12,1),"")</f>
        <v/>
      </c>
      <c r="O138" s="31" t="str">
        <f aca="false">IF(ISNUMBER(G138),G138*1+IF(ISNUMBER(H138),H138,0)*5+IF(ISNUMBER(J138),J138,0)*10+IF(ISNUMBER(K138),K138,0)*3,"")</f>
        <v/>
      </c>
      <c r="P138" s="27"/>
    </row>
    <row r="139" customFormat="false" ht="15" hidden="false" customHeight="true" outlineLevel="0" collapsed="false">
      <c r="A139" s="27" t="s">
        <v>94</v>
      </c>
      <c r="B139" s="28" t="s">
        <v>65</v>
      </c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9" t="str">
        <f aca="false">IF(AND(ISNUMBER(H139),ISNUMBER(G139),G139&gt;0),H139/G139,"")</f>
        <v/>
      </c>
      <c r="N139" s="30" t="str">
        <f aca="false">IF(AND(ISNUMBER(G139),G139&gt;0),G139/IF(ISNUMBER(ダッシュボード!D12),ダッシュボード!D12,1),"")</f>
        <v/>
      </c>
      <c r="O139" s="31" t="str">
        <f aca="false">IF(ISNUMBER(G139),G139*1+IF(ISNUMBER(H139),H139,0)*5+IF(ISNUMBER(J139),J139,0)*10+IF(ISNUMBER(K139),K139,0)*3,"")</f>
        <v/>
      </c>
      <c r="P139" s="27"/>
    </row>
    <row r="140" customFormat="false" ht="15" hidden="false" customHeight="true" outlineLevel="0" collapsed="false">
      <c r="A140" s="27" t="s">
        <v>94</v>
      </c>
      <c r="B140" s="28" t="s">
        <v>66</v>
      </c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9" t="str">
        <f aca="false">IF(AND(ISNUMBER(H140),ISNUMBER(G140),G140&gt;0),H140/G140,"")</f>
        <v/>
      </c>
      <c r="N140" s="30" t="str">
        <f aca="false">IF(AND(ISNUMBER(G140),G140&gt;0),G140/IF(ISNUMBER(ダッシュボード!D12),ダッシュボード!D12,1),"")</f>
        <v/>
      </c>
      <c r="O140" s="31" t="str">
        <f aca="false">IF(ISNUMBER(G140),G140*1+IF(ISNUMBER(H140),H140,0)*5+IF(ISNUMBER(J140),J140,0)*10+IF(ISNUMBER(K140),K140,0)*3,"")</f>
        <v/>
      </c>
      <c r="P140" s="27"/>
    </row>
    <row r="141" customFormat="false" ht="15" hidden="false" customHeight="true" outlineLevel="0" collapsed="false">
      <c r="A141" s="27" t="s">
        <v>94</v>
      </c>
      <c r="B141" s="28" t="s">
        <v>67</v>
      </c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9" t="str">
        <f aca="false">IF(AND(ISNUMBER(H141),ISNUMBER(G141),G141&gt;0),H141/G141,"")</f>
        <v/>
      </c>
      <c r="N141" s="30" t="str">
        <f aca="false">IF(AND(ISNUMBER(G141),G141&gt;0),G141/IF(ISNUMBER(ダッシュボード!D12),ダッシュボード!D12,1),"")</f>
        <v/>
      </c>
      <c r="O141" s="31" t="str">
        <f aca="false">IF(ISNUMBER(G141),G141*1+IF(ISNUMBER(H141),H141,0)*5+IF(ISNUMBER(J141),J141,0)*10+IF(ISNUMBER(K141),K141,0)*3,"")</f>
        <v/>
      </c>
      <c r="P141" s="27"/>
    </row>
    <row r="142" customFormat="false" ht="15" hidden="false" customHeight="true" outlineLevel="0" collapsed="false">
      <c r="A142" s="22" t="s">
        <v>95</v>
      </c>
      <c r="B142" s="23" t="s">
        <v>63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4" t="str">
        <f aca="false">IF(AND(ISNUMBER(H142),ISNUMBER(G142),G142&gt;0),H142/G142,"")</f>
        <v/>
      </c>
      <c r="N142" s="25" t="str">
        <f aca="false">IF(AND(ISNUMBER(G142),G142&gt;0),G142/IF(ISNUMBER(ダッシュボード!D12),ダッシュボード!D12,1),"")</f>
        <v/>
      </c>
      <c r="O142" s="26" t="str">
        <f aca="false">IF(ISNUMBER(G142),G142*1+IF(ISNUMBER(H142),H142,0)*5+IF(ISNUMBER(J142),J142,0)*10+IF(ISNUMBER(K142),K142,0)*3,"")</f>
        <v/>
      </c>
      <c r="P142" s="22"/>
    </row>
    <row r="143" customFormat="false" ht="15" hidden="false" customHeight="true" outlineLevel="0" collapsed="false">
      <c r="A143" s="22" t="s">
        <v>95</v>
      </c>
      <c r="B143" s="23" t="s">
        <v>64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4" t="str">
        <f aca="false">IF(AND(ISNUMBER(H143),ISNUMBER(G143),G143&gt;0),H143/G143,"")</f>
        <v/>
      </c>
      <c r="N143" s="25" t="str">
        <f aca="false">IF(AND(ISNUMBER(G143),G143&gt;0),G143/IF(ISNUMBER(ダッシュボード!D12),ダッシュボード!D12,1),"")</f>
        <v/>
      </c>
      <c r="O143" s="26" t="str">
        <f aca="false">IF(ISNUMBER(G143),G143*1+IF(ISNUMBER(H143),H143,0)*5+IF(ISNUMBER(J143),J143,0)*10+IF(ISNUMBER(K143),K143,0)*3,"")</f>
        <v/>
      </c>
      <c r="P143" s="22"/>
    </row>
    <row r="144" customFormat="false" ht="15" hidden="false" customHeight="true" outlineLevel="0" collapsed="false">
      <c r="A144" s="22" t="s">
        <v>95</v>
      </c>
      <c r="B144" s="23" t="s">
        <v>65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4" t="str">
        <f aca="false">IF(AND(ISNUMBER(H144),ISNUMBER(G144),G144&gt;0),H144/G144,"")</f>
        <v/>
      </c>
      <c r="N144" s="25" t="str">
        <f aca="false">IF(AND(ISNUMBER(G144),G144&gt;0),G144/IF(ISNUMBER(ダッシュボード!D12),ダッシュボード!D12,1),"")</f>
        <v/>
      </c>
      <c r="O144" s="26" t="str">
        <f aca="false">IF(ISNUMBER(G144),G144*1+IF(ISNUMBER(H144),H144,0)*5+IF(ISNUMBER(J144),J144,0)*10+IF(ISNUMBER(K144),K144,0)*3,"")</f>
        <v/>
      </c>
      <c r="P144" s="22"/>
    </row>
    <row r="145" customFormat="false" ht="15" hidden="false" customHeight="true" outlineLevel="0" collapsed="false">
      <c r="A145" s="22" t="s">
        <v>95</v>
      </c>
      <c r="B145" s="23" t="s">
        <v>66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4" t="str">
        <f aca="false">IF(AND(ISNUMBER(H145),ISNUMBER(G145),G145&gt;0),H145/G145,"")</f>
        <v/>
      </c>
      <c r="N145" s="25" t="str">
        <f aca="false">IF(AND(ISNUMBER(G145),G145&gt;0),G145/IF(ISNUMBER(ダッシュボード!D12),ダッシュボード!D12,1),"")</f>
        <v/>
      </c>
      <c r="O145" s="26" t="str">
        <f aca="false">IF(ISNUMBER(G145),G145*1+IF(ISNUMBER(H145),H145,0)*5+IF(ISNUMBER(J145),J145,0)*10+IF(ISNUMBER(K145),K145,0)*3,"")</f>
        <v/>
      </c>
      <c r="P145" s="22"/>
    </row>
    <row r="146" customFormat="false" ht="15" hidden="false" customHeight="true" outlineLevel="0" collapsed="false">
      <c r="A146" s="22" t="s">
        <v>95</v>
      </c>
      <c r="B146" s="23" t="s">
        <v>67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4" t="str">
        <f aca="false">IF(AND(ISNUMBER(H146),ISNUMBER(G146),G146&gt;0),H146/G146,"")</f>
        <v/>
      </c>
      <c r="N146" s="25" t="str">
        <f aca="false">IF(AND(ISNUMBER(G146),G146&gt;0),G146/IF(ISNUMBER(ダッシュボード!D12),ダッシュボード!D12,1),"")</f>
        <v/>
      </c>
      <c r="O146" s="26" t="str">
        <f aca="false">IF(ISNUMBER(G146),G146*1+IF(ISNUMBER(H146),H146,0)*5+IF(ISNUMBER(J146),J146,0)*10+IF(ISNUMBER(K146),K146,0)*3,"")</f>
        <v/>
      </c>
      <c r="P146" s="22"/>
    </row>
    <row r="147" customFormat="false" ht="15" hidden="false" customHeight="true" outlineLevel="0" collapsed="false">
      <c r="A147" s="27" t="s">
        <v>96</v>
      </c>
      <c r="B147" s="28" t="s">
        <v>63</v>
      </c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9" t="str">
        <f aca="false">IF(AND(ISNUMBER(H147),ISNUMBER(G147),G147&gt;0),H147/G147,"")</f>
        <v/>
      </c>
      <c r="N147" s="30" t="str">
        <f aca="false">IF(AND(ISNUMBER(G147),G147&gt;0),G147/IF(ISNUMBER(ダッシュボード!D12),ダッシュボード!D12,1),"")</f>
        <v/>
      </c>
      <c r="O147" s="31" t="str">
        <f aca="false">IF(ISNUMBER(G147),G147*1+IF(ISNUMBER(H147),H147,0)*5+IF(ISNUMBER(J147),J147,0)*10+IF(ISNUMBER(K147),K147,0)*3,"")</f>
        <v/>
      </c>
      <c r="P147" s="27"/>
    </row>
    <row r="148" customFormat="false" ht="15" hidden="false" customHeight="true" outlineLevel="0" collapsed="false">
      <c r="A148" s="27" t="s">
        <v>96</v>
      </c>
      <c r="B148" s="28" t="s">
        <v>64</v>
      </c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9" t="str">
        <f aca="false">IF(AND(ISNUMBER(H148),ISNUMBER(G148),G148&gt;0),H148/G148,"")</f>
        <v/>
      </c>
      <c r="N148" s="30" t="str">
        <f aca="false">IF(AND(ISNUMBER(G148),G148&gt;0),G148/IF(ISNUMBER(ダッシュボード!D12),ダッシュボード!D12,1),"")</f>
        <v/>
      </c>
      <c r="O148" s="31" t="str">
        <f aca="false">IF(ISNUMBER(G148),G148*1+IF(ISNUMBER(H148),H148,0)*5+IF(ISNUMBER(J148),J148,0)*10+IF(ISNUMBER(K148),K148,0)*3,"")</f>
        <v/>
      </c>
      <c r="P148" s="27"/>
    </row>
    <row r="149" customFormat="false" ht="15" hidden="false" customHeight="true" outlineLevel="0" collapsed="false">
      <c r="A149" s="27" t="s">
        <v>96</v>
      </c>
      <c r="B149" s="28" t="s">
        <v>65</v>
      </c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9" t="str">
        <f aca="false">IF(AND(ISNUMBER(H149),ISNUMBER(G149),G149&gt;0),H149/G149,"")</f>
        <v/>
      </c>
      <c r="N149" s="30" t="str">
        <f aca="false">IF(AND(ISNUMBER(G149),G149&gt;0),G149/IF(ISNUMBER(ダッシュボード!D12),ダッシュボード!D12,1),"")</f>
        <v/>
      </c>
      <c r="O149" s="31" t="str">
        <f aca="false">IF(ISNUMBER(G149),G149*1+IF(ISNUMBER(H149),H149,0)*5+IF(ISNUMBER(J149),J149,0)*10+IF(ISNUMBER(K149),K149,0)*3,"")</f>
        <v/>
      </c>
      <c r="P149" s="27"/>
    </row>
    <row r="150" customFormat="false" ht="15" hidden="false" customHeight="true" outlineLevel="0" collapsed="false">
      <c r="A150" s="27" t="s">
        <v>96</v>
      </c>
      <c r="B150" s="28" t="s">
        <v>66</v>
      </c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9" t="str">
        <f aca="false">IF(AND(ISNUMBER(H150),ISNUMBER(G150),G150&gt;0),H150/G150,"")</f>
        <v/>
      </c>
      <c r="N150" s="30" t="str">
        <f aca="false">IF(AND(ISNUMBER(G150),G150&gt;0),G150/IF(ISNUMBER(ダッシュボード!D12),ダッシュボード!D12,1),"")</f>
        <v/>
      </c>
      <c r="O150" s="31" t="str">
        <f aca="false">IF(ISNUMBER(G150),G150*1+IF(ISNUMBER(H150),H150,0)*5+IF(ISNUMBER(J150),J150,0)*10+IF(ISNUMBER(K150),K150,0)*3,"")</f>
        <v/>
      </c>
      <c r="P150" s="27"/>
    </row>
    <row r="151" customFormat="false" ht="15" hidden="false" customHeight="true" outlineLevel="0" collapsed="false">
      <c r="A151" s="27" t="s">
        <v>96</v>
      </c>
      <c r="B151" s="28" t="s">
        <v>67</v>
      </c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9" t="str">
        <f aca="false">IF(AND(ISNUMBER(H151),ISNUMBER(G151),G151&gt;0),H151/G151,"")</f>
        <v/>
      </c>
      <c r="N151" s="30" t="str">
        <f aca="false">IF(AND(ISNUMBER(G151),G151&gt;0),G151/IF(ISNUMBER(ダッシュボード!D12),ダッシュボード!D12,1),"")</f>
        <v/>
      </c>
      <c r="O151" s="31" t="str">
        <f aca="false">IF(ISNUMBER(G151),G151*1+IF(ISNUMBER(H151),H151,0)*5+IF(ISNUMBER(J151),J151,0)*10+IF(ISNUMBER(K151),K151,0)*3,"")</f>
        <v/>
      </c>
      <c r="P151" s="27"/>
    </row>
    <row r="152" customFormat="false" ht="15" hidden="false" customHeight="true" outlineLevel="0" collapsed="false">
      <c r="A152" s="22" t="s">
        <v>97</v>
      </c>
      <c r="B152" s="23" t="s">
        <v>63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4" t="str">
        <f aca="false">IF(AND(ISNUMBER(H152),ISNUMBER(G152),G152&gt;0),H152/G152,"")</f>
        <v/>
      </c>
      <c r="N152" s="25" t="str">
        <f aca="false">IF(AND(ISNUMBER(G152),G152&gt;0),G152/IF(ISNUMBER(ダッシュボード!D12),ダッシュボード!D12,1),"")</f>
        <v/>
      </c>
      <c r="O152" s="26" t="str">
        <f aca="false">IF(ISNUMBER(G152),G152*1+IF(ISNUMBER(H152),H152,0)*5+IF(ISNUMBER(J152),J152,0)*10+IF(ISNUMBER(K152),K152,0)*3,"")</f>
        <v/>
      </c>
      <c r="P152" s="22"/>
    </row>
    <row r="153" customFormat="false" ht="15" hidden="false" customHeight="true" outlineLevel="0" collapsed="false">
      <c r="A153" s="22" t="s">
        <v>97</v>
      </c>
      <c r="B153" s="23" t="s">
        <v>64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4" t="str">
        <f aca="false">IF(AND(ISNUMBER(H153),ISNUMBER(G153),G153&gt;0),H153/G153,"")</f>
        <v/>
      </c>
      <c r="N153" s="25" t="str">
        <f aca="false">IF(AND(ISNUMBER(G153),G153&gt;0),G153/IF(ISNUMBER(ダッシュボード!D12),ダッシュボード!D12,1),"")</f>
        <v/>
      </c>
      <c r="O153" s="26" t="str">
        <f aca="false">IF(ISNUMBER(G153),G153*1+IF(ISNUMBER(H153),H153,0)*5+IF(ISNUMBER(J153),J153,0)*10+IF(ISNUMBER(K153),K153,0)*3,"")</f>
        <v/>
      </c>
      <c r="P153" s="22"/>
    </row>
    <row r="154" customFormat="false" ht="15" hidden="false" customHeight="true" outlineLevel="0" collapsed="false">
      <c r="A154" s="22" t="s">
        <v>97</v>
      </c>
      <c r="B154" s="23" t="s">
        <v>65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4" t="str">
        <f aca="false">IF(AND(ISNUMBER(H154),ISNUMBER(G154),G154&gt;0),H154/G154,"")</f>
        <v/>
      </c>
      <c r="N154" s="25" t="str">
        <f aca="false">IF(AND(ISNUMBER(G154),G154&gt;0),G154/IF(ISNUMBER(ダッシュボード!D12),ダッシュボード!D12,1),"")</f>
        <v/>
      </c>
      <c r="O154" s="26" t="str">
        <f aca="false">IF(ISNUMBER(G154),G154*1+IF(ISNUMBER(H154),H154,0)*5+IF(ISNUMBER(J154),J154,0)*10+IF(ISNUMBER(K154),K154,0)*3,"")</f>
        <v/>
      </c>
      <c r="P154" s="22"/>
    </row>
    <row r="155" customFormat="false" ht="15" hidden="false" customHeight="true" outlineLevel="0" collapsed="false">
      <c r="A155" s="22" t="s">
        <v>97</v>
      </c>
      <c r="B155" s="23" t="s">
        <v>66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4" t="str">
        <f aca="false">IF(AND(ISNUMBER(H155),ISNUMBER(G155),G155&gt;0),H155/G155,"")</f>
        <v/>
      </c>
      <c r="N155" s="25" t="str">
        <f aca="false">IF(AND(ISNUMBER(G155),G155&gt;0),G155/IF(ISNUMBER(ダッシュボード!D12),ダッシュボード!D12,1),"")</f>
        <v/>
      </c>
      <c r="O155" s="26" t="str">
        <f aca="false">IF(ISNUMBER(G155),G155*1+IF(ISNUMBER(H155),H155,0)*5+IF(ISNUMBER(J155),J155,0)*10+IF(ISNUMBER(K155),K155,0)*3,"")</f>
        <v/>
      </c>
      <c r="P155" s="22"/>
    </row>
    <row r="156" customFormat="false" ht="15" hidden="false" customHeight="true" outlineLevel="0" collapsed="false">
      <c r="A156" s="22" t="s">
        <v>97</v>
      </c>
      <c r="B156" s="23" t="s">
        <v>67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4" t="str">
        <f aca="false">IF(AND(ISNUMBER(H156),ISNUMBER(G156),G156&gt;0),H156/G156,"")</f>
        <v/>
      </c>
      <c r="N156" s="25" t="str">
        <f aca="false">IF(AND(ISNUMBER(G156),G156&gt;0),G156/IF(ISNUMBER(ダッシュボード!D12),ダッシュボード!D12,1),"")</f>
        <v/>
      </c>
      <c r="O156" s="26" t="str">
        <f aca="false">IF(ISNUMBER(G156),G156*1+IF(ISNUMBER(H156),H156,0)*5+IF(ISNUMBER(J156),J156,0)*10+IF(ISNUMBER(K156),K156,0)*3,"")</f>
        <v/>
      </c>
      <c r="P156" s="22"/>
    </row>
    <row r="157" customFormat="false" ht="15" hidden="false" customHeight="true" outlineLevel="0" collapsed="false">
      <c r="A157" s="27" t="s">
        <v>98</v>
      </c>
      <c r="B157" s="28" t="s">
        <v>63</v>
      </c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9" t="str">
        <f aca="false">IF(AND(ISNUMBER(H157),ISNUMBER(G157),G157&gt;0),H157/G157,"")</f>
        <v/>
      </c>
      <c r="N157" s="30" t="str">
        <f aca="false">IF(AND(ISNUMBER(G157),G157&gt;0),G157/IF(ISNUMBER(ダッシュボード!D12),ダッシュボード!D12,1),"")</f>
        <v/>
      </c>
      <c r="O157" s="31" t="str">
        <f aca="false">IF(ISNUMBER(G157),G157*1+IF(ISNUMBER(H157),H157,0)*5+IF(ISNUMBER(J157),J157,0)*10+IF(ISNUMBER(K157),K157,0)*3,"")</f>
        <v/>
      </c>
      <c r="P157" s="27"/>
    </row>
    <row r="158" customFormat="false" ht="15" hidden="false" customHeight="true" outlineLevel="0" collapsed="false">
      <c r="A158" s="27" t="s">
        <v>98</v>
      </c>
      <c r="B158" s="28" t="s">
        <v>64</v>
      </c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9" t="str">
        <f aca="false">IF(AND(ISNUMBER(H158),ISNUMBER(G158),G158&gt;0),H158/G158,"")</f>
        <v/>
      </c>
      <c r="N158" s="30" t="str">
        <f aca="false">IF(AND(ISNUMBER(G158),G158&gt;0),G158/IF(ISNUMBER(ダッシュボード!D12),ダッシュボード!D12,1),"")</f>
        <v/>
      </c>
      <c r="O158" s="31" t="str">
        <f aca="false">IF(ISNUMBER(G158),G158*1+IF(ISNUMBER(H158),H158,0)*5+IF(ISNUMBER(J158),J158,0)*10+IF(ISNUMBER(K158),K158,0)*3,"")</f>
        <v/>
      </c>
      <c r="P158" s="27"/>
    </row>
    <row r="159" customFormat="false" ht="15" hidden="false" customHeight="true" outlineLevel="0" collapsed="false">
      <c r="A159" s="27" t="s">
        <v>98</v>
      </c>
      <c r="B159" s="28" t="s">
        <v>65</v>
      </c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9" t="str">
        <f aca="false">IF(AND(ISNUMBER(H159),ISNUMBER(G159),G159&gt;0),H159/G159,"")</f>
        <v/>
      </c>
      <c r="N159" s="30" t="str">
        <f aca="false">IF(AND(ISNUMBER(G159),G159&gt;0),G159/IF(ISNUMBER(ダッシュボード!D12),ダッシュボード!D12,1),"")</f>
        <v/>
      </c>
      <c r="O159" s="31" t="str">
        <f aca="false">IF(ISNUMBER(G159),G159*1+IF(ISNUMBER(H159),H159,0)*5+IF(ISNUMBER(J159),J159,0)*10+IF(ISNUMBER(K159),K159,0)*3,"")</f>
        <v/>
      </c>
      <c r="P159" s="27"/>
    </row>
    <row r="160" customFormat="false" ht="15" hidden="false" customHeight="true" outlineLevel="0" collapsed="false">
      <c r="A160" s="27" t="s">
        <v>98</v>
      </c>
      <c r="B160" s="28" t="s">
        <v>66</v>
      </c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9" t="str">
        <f aca="false">IF(AND(ISNUMBER(H160),ISNUMBER(G160),G160&gt;0),H160/G160,"")</f>
        <v/>
      </c>
      <c r="N160" s="30" t="str">
        <f aca="false">IF(AND(ISNUMBER(G160),G160&gt;0),G160/IF(ISNUMBER(ダッシュボード!D12),ダッシュボード!D12,1),"")</f>
        <v/>
      </c>
      <c r="O160" s="31" t="str">
        <f aca="false">IF(ISNUMBER(G160),G160*1+IF(ISNUMBER(H160),H160,0)*5+IF(ISNUMBER(J160),J160,0)*10+IF(ISNUMBER(K160),K160,0)*3,"")</f>
        <v/>
      </c>
      <c r="P160" s="27"/>
    </row>
    <row r="161" customFormat="false" ht="15" hidden="false" customHeight="true" outlineLevel="0" collapsed="false">
      <c r="A161" s="27" t="s">
        <v>98</v>
      </c>
      <c r="B161" s="28" t="s">
        <v>67</v>
      </c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9" t="str">
        <f aca="false">IF(AND(ISNUMBER(H161),ISNUMBER(G161),G161&gt;0),H161/G161,"")</f>
        <v/>
      </c>
      <c r="N161" s="30" t="str">
        <f aca="false">IF(AND(ISNUMBER(G161),G161&gt;0),G161/IF(ISNUMBER(ダッシュボード!D12),ダッシュボード!D12,1),"")</f>
        <v/>
      </c>
      <c r="O161" s="31" t="str">
        <f aca="false">IF(ISNUMBER(G161),G161*1+IF(ISNUMBER(H161),H161,0)*5+IF(ISNUMBER(J161),J161,0)*10+IF(ISNUMBER(K161),K161,0)*3,"")</f>
        <v/>
      </c>
      <c r="P161" s="27"/>
    </row>
    <row r="162" customFormat="false" ht="15" hidden="false" customHeight="true" outlineLevel="0" collapsed="false">
      <c r="A162" s="22" t="s">
        <v>99</v>
      </c>
      <c r="B162" s="23" t="s">
        <v>63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4" t="str">
        <f aca="false">IF(AND(ISNUMBER(H162),ISNUMBER(G162),G162&gt;0),H162/G162,"")</f>
        <v/>
      </c>
      <c r="N162" s="25" t="str">
        <f aca="false">IF(AND(ISNUMBER(G162),G162&gt;0),G162/IF(ISNUMBER(ダッシュボード!D12),ダッシュボード!D12,1),"")</f>
        <v/>
      </c>
      <c r="O162" s="26" t="str">
        <f aca="false">IF(ISNUMBER(G162),G162*1+IF(ISNUMBER(H162),H162,0)*5+IF(ISNUMBER(J162),J162,0)*10+IF(ISNUMBER(K162),K162,0)*3,"")</f>
        <v/>
      </c>
      <c r="P162" s="22"/>
    </row>
    <row r="163" customFormat="false" ht="15" hidden="false" customHeight="true" outlineLevel="0" collapsed="false">
      <c r="A163" s="22" t="s">
        <v>99</v>
      </c>
      <c r="B163" s="23" t="s">
        <v>64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4" t="str">
        <f aca="false">IF(AND(ISNUMBER(H163),ISNUMBER(G163),G163&gt;0),H163/G163,"")</f>
        <v/>
      </c>
      <c r="N163" s="25" t="str">
        <f aca="false">IF(AND(ISNUMBER(G163),G163&gt;0),G163/IF(ISNUMBER(ダッシュボード!D12),ダッシュボード!D12,1),"")</f>
        <v/>
      </c>
      <c r="O163" s="26" t="str">
        <f aca="false">IF(ISNUMBER(G163),G163*1+IF(ISNUMBER(H163),H163,0)*5+IF(ISNUMBER(J163),J163,0)*10+IF(ISNUMBER(K163),K163,0)*3,"")</f>
        <v/>
      </c>
      <c r="P163" s="22"/>
    </row>
    <row r="164" customFormat="false" ht="15" hidden="false" customHeight="true" outlineLevel="0" collapsed="false">
      <c r="A164" s="22" t="s">
        <v>99</v>
      </c>
      <c r="B164" s="23" t="s">
        <v>65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4" t="str">
        <f aca="false">IF(AND(ISNUMBER(H164),ISNUMBER(G164),G164&gt;0),H164/G164,"")</f>
        <v/>
      </c>
      <c r="N164" s="25" t="str">
        <f aca="false">IF(AND(ISNUMBER(G164),G164&gt;0),G164/IF(ISNUMBER(ダッシュボード!D12),ダッシュボード!D12,1),"")</f>
        <v/>
      </c>
      <c r="O164" s="26" t="str">
        <f aca="false">IF(ISNUMBER(G164),G164*1+IF(ISNUMBER(H164),H164,0)*5+IF(ISNUMBER(J164),J164,0)*10+IF(ISNUMBER(K164),K164,0)*3,"")</f>
        <v/>
      </c>
      <c r="P164" s="22"/>
    </row>
    <row r="165" customFormat="false" ht="15" hidden="false" customHeight="true" outlineLevel="0" collapsed="false">
      <c r="A165" s="22" t="s">
        <v>99</v>
      </c>
      <c r="B165" s="23" t="s">
        <v>66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4" t="str">
        <f aca="false">IF(AND(ISNUMBER(H165),ISNUMBER(G165),G165&gt;0),H165/G165,"")</f>
        <v/>
      </c>
      <c r="N165" s="25" t="str">
        <f aca="false">IF(AND(ISNUMBER(G165),G165&gt;0),G165/IF(ISNUMBER(ダッシュボード!D12),ダッシュボード!D12,1),"")</f>
        <v/>
      </c>
      <c r="O165" s="26" t="str">
        <f aca="false">IF(ISNUMBER(G165),G165*1+IF(ISNUMBER(H165),H165,0)*5+IF(ISNUMBER(J165),J165,0)*10+IF(ISNUMBER(K165),K165,0)*3,"")</f>
        <v/>
      </c>
      <c r="P165" s="22"/>
    </row>
    <row r="166" customFormat="false" ht="15" hidden="false" customHeight="true" outlineLevel="0" collapsed="false">
      <c r="A166" s="22" t="s">
        <v>99</v>
      </c>
      <c r="B166" s="23" t="s">
        <v>67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4" t="str">
        <f aca="false">IF(AND(ISNUMBER(H166),ISNUMBER(G166),G166&gt;0),H166/G166,"")</f>
        <v/>
      </c>
      <c r="N166" s="25" t="str">
        <f aca="false">IF(AND(ISNUMBER(G166),G166&gt;0),G166/IF(ISNUMBER(ダッシュボード!D12),ダッシュボード!D12,1),"")</f>
        <v/>
      </c>
      <c r="O166" s="26" t="str">
        <f aca="false">IF(ISNUMBER(G166),G166*1+IF(ISNUMBER(H166),H166,0)*5+IF(ISNUMBER(J166),J166,0)*10+IF(ISNUMBER(K166),K166,0)*3,"")</f>
        <v/>
      </c>
      <c r="P166" s="22"/>
    </row>
    <row r="167" customFormat="false" ht="15" hidden="false" customHeight="true" outlineLevel="0" collapsed="false">
      <c r="A167" s="27" t="s">
        <v>100</v>
      </c>
      <c r="B167" s="28" t="s">
        <v>63</v>
      </c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9" t="str">
        <f aca="false">IF(AND(ISNUMBER(H167),ISNUMBER(G167),G167&gt;0),H167/G167,"")</f>
        <v/>
      </c>
      <c r="N167" s="30" t="str">
        <f aca="false">IF(AND(ISNUMBER(G167),G167&gt;0),G167/IF(ISNUMBER(ダッシュボード!D12),ダッシュボード!D12,1),"")</f>
        <v/>
      </c>
      <c r="O167" s="31" t="str">
        <f aca="false">IF(ISNUMBER(G167),G167*1+IF(ISNUMBER(H167),H167,0)*5+IF(ISNUMBER(J167),J167,0)*10+IF(ISNUMBER(K167),K167,0)*3,"")</f>
        <v/>
      </c>
      <c r="P167" s="27"/>
    </row>
    <row r="168" customFormat="false" ht="15" hidden="false" customHeight="true" outlineLevel="0" collapsed="false">
      <c r="A168" s="27" t="s">
        <v>100</v>
      </c>
      <c r="B168" s="28" t="s">
        <v>64</v>
      </c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9" t="str">
        <f aca="false">IF(AND(ISNUMBER(H168),ISNUMBER(G168),G168&gt;0),H168/G168,"")</f>
        <v/>
      </c>
      <c r="N168" s="30" t="str">
        <f aca="false">IF(AND(ISNUMBER(G168),G168&gt;0),G168/IF(ISNUMBER(ダッシュボード!D12),ダッシュボード!D12,1),"")</f>
        <v/>
      </c>
      <c r="O168" s="31" t="str">
        <f aca="false">IF(ISNUMBER(G168),G168*1+IF(ISNUMBER(H168),H168,0)*5+IF(ISNUMBER(J168),J168,0)*10+IF(ISNUMBER(K168),K168,0)*3,"")</f>
        <v/>
      </c>
      <c r="P168" s="27"/>
    </row>
    <row r="169" customFormat="false" ht="15" hidden="false" customHeight="true" outlineLevel="0" collapsed="false">
      <c r="A169" s="27" t="s">
        <v>100</v>
      </c>
      <c r="B169" s="28" t="s">
        <v>65</v>
      </c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9" t="str">
        <f aca="false">IF(AND(ISNUMBER(H169),ISNUMBER(G169),G169&gt;0),H169/G169,"")</f>
        <v/>
      </c>
      <c r="N169" s="30" t="str">
        <f aca="false">IF(AND(ISNUMBER(G169),G169&gt;0),G169/IF(ISNUMBER(ダッシュボード!D12),ダッシュボード!D12,1),"")</f>
        <v/>
      </c>
      <c r="O169" s="31" t="str">
        <f aca="false">IF(ISNUMBER(G169),G169*1+IF(ISNUMBER(H169),H169,0)*5+IF(ISNUMBER(J169),J169,0)*10+IF(ISNUMBER(K169),K169,0)*3,"")</f>
        <v/>
      </c>
      <c r="P169" s="27"/>
    </row>
    <row r="170" customFormat="false" ht="15" hidden="false" customHeight="true" outlineLevel="0" collapsed="false">
      <c r="A170" s="27" t="s">
        <v>100</v>
      </c>
      <c r="B170" s="28" t="s">
        <v>66</v>
      </c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9" t="str">
        <f aca="false">IF(AND(ISNUMBER(H170),ISNUMBER(G170),G170&gt;0),H170/G170,"")</f>
        <v/>
      </c>
      <c r="N170" s="30" t="str">
        <f aca="false">IF(AND(ISNUMBER(G170),G170&gt;0),G170/IF(ISNUMBER(ダッシュボード!D12),ダッシュボード!D12,1),"")</f>
        <v/>
      </c>
      <c r="O170" s="31" t="str">
        <f aca="false">IF(ISNUMBER(G170),G170*1+IF(ISNUMBER(H170),H170,0)*5+IF(ISNUMBER(J170),J170,0)*10+IF(ISNUMBER(K170),K170,0)*3,"")</f>
        <v/>
      </c>
      <c r="P170" s="27"/>
    </row>
    <row r="171" customFormat="false" ht="15" hidden="false" customHeight="true" outlineLevel="0" collapsed="false">
      <c r="A171" s="27" t="s">
        <v>100</v>
      </c>
      <c r="B171" s="28" t="s">
        <v>67</v>
      </c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9" t="str">
        <f aca="false">IF(AND(ISNUMBER(H171),ISNUMBER(G171),G171&gt;0),H171/G171,"")</f>
        <v/>
      </c>
      <c r="N171" s="30" t="str">
        <f aca="false">IF(AND(ISNUMBER(G171),G171&gt;0),G171/IF(ISNUMBER(ダッシュボード!D12),ダッシュボード!D12,1),"")</f>
        <v/>
      </c>
      <c r="O171" s="31" t="str">
        <f aca="false">IF(ISNUMBER(G171),G171*1+IF(ISNUMBER(H171),H171,0)*5+IF(ISNUMBER(J171),J171,0)*10+IF(ISNUMBER(K171),K171,0)*3,"")</f>
        <v/>
      </c>
      <c r="P171" s="27"/>
    </row>
    <row r="172" customFormat="false" ht="15" hidden="false" customHeight="true" outlineLevel="0" collapsed="false">
      <c r="A172" s="22" t="s">
        <v>101</v>
      </c>
      <c r="B172" s="23" t="s">
        <v>63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4" t="str">
        <f aca="false">IF(AND(ISNUMBER(H172),ISNUMBER(G172),G172&gt;0),H172/G172,"")</f>
        <v/>
      </c>
      <c r="N172" s="25" t="str">
        <f aca="false">IF(AND(ISNUMBER(G172),G172&gt;0),G172/IF(ISNUMBER(ダッシュボード!D12),ダッシュボード!D12,1),"")</f>
        <v/>
      </c>
      <c r="O172" s="26" t="str">
        <f aca="false">IF(ISNUMBER(G172),G172*1+IF(ISNUMBER(H172),H172,0)*5+IF(ISNUMBER(J172),J172,0)*10+IF(ISNUMBER(K172),K172,0)*3,"")</f>
        <v/>
      </c>
      <c r="P172" s="22"/>
    </row>
    <row r="173" customFormat="false" ht="15" hidden="false" customHeight="true" outlineLevel="0" collapsed="false">
      <c r="A173" s="22" t="s">
        <v>101</v>
      </c>
      <c r="B173" s="23" t="s">
        <v>64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4" t="str">
        <f aca="false">IF(AND(ISNUMBER(H173),ISNUMBER(G173),G173&gt;0),H173/G173,"")</f>
        <v/>
      </c>
      <c r="N173" s="25" t="str">
        <f aca="false">IF(AND(ISNUMBER(G173),G173&gt;0),G173/IF(ISNUMBER(ダッシュボード!D12),ダッシュボード!D12,1),"")</f>
        <v/>
      </c>
      <c r="O173" s="26" t="str">
        <f aca="false">IF(ISNUMBER(G173),G173*1+IF(ISNUMBER(H173),H173,0)*5+IF(ISNUMBER(J173),J173,0)*10+IF(ISNUMBER(K173),K173,0)*3,"")</f>
        <v/>
      </c>
      <c r="P173" s="22"/>
    </row>
    <row r="174" customFormat="false" ht="15" hidden="false" customHeight="true" outlineLevel="0" collapsed="false">
      <c r="A174" s="22" t="s">
        <v>101</v>
      </c>
      <c r="B174" s="23" t="s">
        <v>65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4" t="str">
        <f aca="false">IF(AND(ISNUMBER(H174),ISNUMBER(G174),G174&gt;0),H174/G174,"")</f>
        <v/>
      </c>
      <c r="N174" s="25" t="str">
        <f aca="false">IF(AND(ISNUMBER(G174),G174&gt;0),G174/IF(ISNUMBER(ダッシュボード!D12),ダッシュボード!D12,1),"")</f>
        <v/>
      </c>
      <c r="O174" s="26" t="str">
        <f aca="false">IF(ISNUMBER(G174),G174*1+IF(ISNUMBER(H174),H174,0)*5+IF(ISNUMBER(J174),J174,0)*10+IF(ISNUMBER(K174),K174,0)*3,"")</f>
        <v/>
      </c>
      <c r="P174" s="22"/>
    </row>
    <row r="175" customFormat="false" ht="15" hidden="false" customHeight="true" outlineLevel="0" collapsed="false">
      <c r="A175" s="22" t="s">
        <v>101</v>
      </c>
      <c r="B175" s="23" t="s">
        <v>66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4" t="str">
        <f aca="false">IF(AND(ISNUMBER(H175),ISNUMBER(G175),G175&gt;0),H175/G175,"")</f>
        <v/>
      </c>
      <c r="N175" s="25" t="str">
        <f aca="false">IF(AND(ISNUMBER(G175),G175&gt;0),G175/IF(ISNUMBER(ダッシュボード!D12),ダッシュボード!D12,1),"")</f>
        <v/>
      </c>
      <c r="O175" s="26" t="str">
        <f aca="false">IF(ISNUMBER(G175),G175*1+IF(ISNUMBER(H175),H175,0)*5+IF(ISNUMBER(J175),J175,0)*10+IF(ISNUMBER(K175),K175,0)*3,"")</f>
        <v/>
      </c>
      <c r="P175" s="22"/>
    </row>
    <row r="176" customFormat="false" ht="15" hidden="false" customHeight="true" outlineLevel="0" collapsed="false">
      <c r="A176" s="22" t="s">
        <v>101</v>
      </c>
      <c r="B176" s="23" t="s">
        <v>67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4" t="str">
        <f aca="false">IF(AND(ISNUMBER(H176),ISNUMBER(G176),G176&gt;0),H176/G176,"")</f>
        <v/>
      </c>
      <c r="N176" s="25" t="str">
        <f aca="false">IF(AND(ISNUMBER(G176),G176&gt;0),G176/IF(ISNUMBER(ダッシュボード!D12),ダッシュボード!D12,1),"")</f>
        <v/>
      </c>
      <c r="O176" s="26" t="str">
        <f aca="false">IF(ISNUMBER(G176),G176*1+IF(ISNUMBER(H176),H176,0)*5+IF(ISNUMBER(J176),J176,0)*10+IF(ISNUMBER(K176),K176,0)*3,"")</f>
        <v/>
      </c>
      <c r="P176" s="22"/>
    </row>
    <row r="177" customFormat="false" ht="15" hidden="false" customHeight="true" outlineLevel="0" collapsed="false">
      <c r="A177" s="27" t="s">
        <v>102</v>
      </c>
      <c r="B177" s="28" t="s">
        <v>63</v>
      </c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9" t="str">
        <f aca="false">IF(AND(ISNUMBER(H177),ISNUMBER(G177),G177&gt;0),H177/G177,"")</f>
        <v/>
      </c>
      <c r="N177" s="30" t="str">
        <f aca="false">IF(AND(ISNUMBER(G177),G177&gt;0),G177/IF(ISNUMBER(ダッシュボード!D12),ダッシュボード!D12,1),"")</f>
        <v/>
      </c>
      <c r="O177" s="31" t="str">
        <f aca="false">IF(ISNUMBER(G177),G177*1+IF(ISNUMBER(H177),H177,0)*5+IF(ISNUMBER(J177),J177,0)*10+IF(ISNUMBER(K177),K177,0)*3,"")</f>
        <v/>
      </c>
      <c r="P177" s="27"/>
    </row>
    <row r="178" customFormat="false" ht="15" hidden="false" customHeight="true" outlineLevel="0" collapsed="false">
      <c r="A178" s="27" t="s">
        <v>102</v>
      </c>
      <c r="B178" s="28" t="s">
        <v>64</v>
      </c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9" t="str">
        <f aca="false">IF(AND(ISNUMBER(H178),ISNUMBER(G178),G178&gt;0),H178/G178,"")</f>
        <v/>
      </c>
      <c r="N178" s="30" t="str">
        <f aca="false">IF(AND(ISNUMBER(G178),G178&gt;0),G178/IF(ISNUMBER(ダッシュボード!D12),ダッシュボード!D12,1),"")</f>
        <v/>
      </c>
      <c r="O178" s="31" t="str">
        <f aca="false">IF(ISNUMBER(G178),G178*1+IF(ISNUMBER(H178),H178,0)*5+IF(ISNUMBER(J178),J178,0)*10+IF(ISNUMBER(K178),K178,0)*3,"")</f>
        <v/>
      </c>
      <c r="P178" s="27"/>
    </row>
    <row r="179" customFormat="false" ht="15" hidden="false" customHeight="true" outlineLevel="0" collapsed="false">
      <c r="A179" s="27" t="s">
        <v>102</v>
      </c>
      <c r="B179" s="28" t="s">
        <v>65</v>
      </c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9" t="str">
        <f aca="false">IF(AND(ISNUMBER(H179),ISNUMBER(G179),G179&gt;0),H179/G179,"")</f>
        <v/>
      </c>
      <c r="N179" s="30" t="str">
        <f aca="false">IF(AND(ISNUMBER(G179),G179&gt;0),G179/IF(ISNUMBER(ダッシュボード!D12),ダッシュボード!D12,1),"")</f>
        <v/>
      </c>
      <c r="O179" s="31" t="str">
        <f aca="false">IF(ISNUMBER(G179),G179*1+IF(ISNUMBER(H179),H179,0)*5+IF(ISNUMBER(J179),J179,0)*10+IF(ISNUMBER(K179),K179,0)*3,"")</f>
        <v/>
      </c>
      <c r="P179" s="27"/>
    </row>
    <row r="180" customFormat="false" ht="15" hidden="false" customHeight="true" outlineLevel="0" collapsed="false">
      <c r="A180" s="27" t="s">
        <v>102</v>
      </c>
      <c r="B180" s="28" t="s">
        <v>66</v>
      </c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9" t="str">
        <f aca="false">IF(AND(ISNUMBER(H180),ISNUMBER(G180),G180&gt;0),H180/G180,"")</f>
        <v/>
      </c>
      <c r="N180" s="30" t="str">
        <f aca="false">IF(AND(ISNUMBER(G180),G180&gt;0),G180/IF(ISNUMBER(ダッシュボード!D12),ダッシュボード!D12,1),"")</f>
        <v/>
      </c>
      <c r="O180" s="31" t="str">
        <f aca="false">IF(ISNUMBER(G180),G180*1+IF(ISNUMBER(H180),H180,0)*5+IF(ISNUMBER(J180),J180,0)*10+IF(ISNUMBER(K180),K180,0)*3,"")</f>
        <v/>
      </c>
      <c r="P180" s="27"/>
    </row>
    <row r="181" customFormat="false" ht="15" hidden="false" customHeight="true" outlineLevel="0" collapsed="false">
      <c r="A181" s="27" t="s">
        <v>102</v>
      </c>
      <c r="B181" s="28" t="s">
        <v>67</v>
      </c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9" t="str">
        <f aca="false">IF(AND(ISNUMBER(H181),ISNUMBER(G181),G181&gt;0),H181/G181,"")</f>
        <v/>
      </c>
      <c r="N181" s="30" t="str">
        <f aca="false">IF(AND(ISNUMBER(G181),G181&gt;0),G181/IF(ISNUMBER(ダッシュボード!D12),ダッシュボード!D12,1),"")</f>
        <v/>
      </c>
      <c r="O181" s="31" t="str">
        <f aca="false">IF(ISNUMBER(G181),G181*1+IF(ISNUMBER(H181),H181,0)*5+IF(ISNUMBER(J181),J181,0)*10+IF(ISNUMBER(K181),K181,0)*3,"")</f>
        <v/>
      </c>
      <c r="P181" s="27"/>
    </row>
    <row r="182" customFormat="false" ht="15" hidden="false" customHeight="true" outlineLevel="0" collapsed="false">
      <c r="A182" s="22" t="s">
        <v>103</v>
      </c>
      <c r="B182" s="23" t="s">
        <v>63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4" t="str">
        <f aca="false">IF(AND(ISNUMBER(H182),ISNUMBER(G182),G182&gt;0),H182/G182,"")</f>
        <v/>
      </c>
      <c r="N182" s="25" t="str">
        <f aca="false">IF(AND(ISNUMBER(G182),G182&gt;0),G182/IF(ISNUMBER(ダッシュボード!D12),ダッシュボード!D12,1),"")</f>
        <v/>
      </c>
      <c r="O182" s="26" t="str">
        <f aca="false">IF(ISNUMBER(G182),G182*1+IF(ISNUMBER(H182),H182,0)*5+IF(ISNUMBER(J182),J182,0)*10+IF(ISNUMBER(K182),K182,0)*3,"")</f>
        <v/>
      </c>
      <c r="P182" s="22"/>
    </row>
    <row r="183" customFormat="false" ht="15" hidden="false" customHeight="true" outlineLevel="0" collapsed="false">
      <c r="A183" s="22" t="s">
        <v>103</v>
      </c>
      <c r="B183" s="23" t="s">
        <v>64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4" t="str">
        <f aca="false">IF(AND(ISNUMBER(H183),ISNUMBER(G183),G183&gt;0),H183/G183,"")</f>
        <v/>
      </c>
      <c r="N183" s="25" t="str">
        <f aca="false">IF(AND(ISNUMBER(G183),G183&gt;0),G183/IF(ISNUMBER(ダッシュボード!D12),ダッシュボード!D12,1),"")</f>
        <v/>
      </c>
      <c r="O183" s="26" t="str">
        <f aca="false">IF(ISNUMBER(G183),G183*1+IF(ISNUMBER(H183),H183,0)*5+IF(ISNUMBER(J183),J183,0)*10+IF(ISNUMBER(K183),K183,0)*3,"")</f>
        <v/>
      </c>
      <c r="P183" s="22"/>
    </row>
    <row r="184" customFormat="false" ht="15" hidden="false" customHeight="true" outlineLevel="0" collapsed="false">
      <c r="A184" s="22" t="s">
        <v>103</v>
      </c>
      <c r="B184" s="23" t="s">
        <v>65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4" t="str">
        <f aca="false">IF(AND(ISNUMBER(H184),ISNUMBER(G184),G184&gt;0),H184/G184,"")</f>
        <v/>
      </c>
      <c r="N184" s="25" t="str">
        <f aca="false">IF(AND(ISNUMBER(G184),G184&gt;0),G184/IF(ISNUMBER(ダッシュボード!D12),ダッシュボード!D12,1),"")</f>
        <v/>
      </c>
      <c r="O184" s="26" t="str">
        <f aca="false">IF(ISNUMBER(G184),G184*1+IF(ISNUMBER(H184),H184,0)*5+IF(ISNUMBER(J184),J184,0)*10+IF(ISNUMBER(K184),K184,0)*3,"")</f>
        <v/>
      </c>
      <c r="P184" s="22"/>
    </row>
    <row r="185" customFormat="false" ht="15" hidden="false" customHeight="true" outlineLevel="0" collapsed="false">
      <c r="A185" s="22" t="s">
        <v>103</v>
      </c>
      <c r="B185" s="23" t="s">
        <v>66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4" t="str">
        <f aca="false">IF(AND(ISNUMBER(H185),ISNUMBER(G185),G185&gt;0),H185/G185,"")</f>
        <v/>
      </c>
      <c r="N185" s="25" t="str">
        <f aca="false">IF(AND(ISNUMBER(G185),G185&gt;0),G185/IF(ISNUMBER(ダッシュボード!D12),ダッシュボード!D12,1),"")</f>
        <v/>
      </c>
      <c r="O185" s="26" t="str">
        <f aca="false">IF(ISNUMBER(G185),G185*1+IF(ISNUMBER(H185),H185,0)*5+IF(ISNUMBER(J185),J185,0)*10+IF(ISNUMBER(K185),K185,0)*3,"")</f>
        <v/>
      </c>
      <c r="P185" s="22"/>
    </row>
    <row r="186" customFormat="false" ht="15" hidden="false" customHeight="true" outlineLevel="0" collapsed="false">
      <c r="A186" s="22" t="s">
        <v>103</v>
      </c>
      <c r="B186" s="23" t="s">
        <v>67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4" t="str">
        <f aca="false">IF(AND(ISNUMBER(H186),ISNUMBER(G186),G186&gt;0),H186/G186,"")</f>
        <v/>
      </c>
      <c r="N186" s="25" t="str">
        <f aca="false">IF(AND(ISNUMBER(G186),G186&gt;0),G186/IF(ISNUMBER(ダッシュボード!D12),ダッシュボード!D12,1),"")</f>
        <v/>
      </c>
      <c r="O186" s="26" t="str">
        <f aca="false">IF(ISNUMBER(G186),G186*1+IF(ISNUMBER(H186),H186,0)*5+IF(ISNUMBER(J186),J186,0)*10+IF(ISNUMBER(K186),K186,0)*3,"")</f>
        <v/>
      </c>
      <c r="P186" s="22"/>
    </row>
    <row r="187" customFormat="false" ht="15" hidden="false" customHeight="true" outlineLevel="0" collapsed="false">
      <c r="A187" s="27" t="s">
        <v>104</v>
      </c>
      <c r="B187" s="28" t="s">
        <v>63</v>
      </c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9" t="str">
        <f aca="false">IF(AND(ISNUMBER(H187),ISNUMBER(G187),G187&gt;0),H187/G187,"")</f>
        <v/>
      </c>
      <c r="N187" s="30" t="str">
        <f aca="false">IF(AND(ISNUMBER(G187),G187&gt;0),G187/IF(ISNUMBER(ダッシュボード!D12),ダッシュボード!D12,1),"")</f>
        <v/>
      </c>
      <c r="O187" s="31" t="str">
        <f aca="false">IF(ISNUMBER(G187),G187*1+IF(ISNUMBER(H187),H187,0)*5+IF(ISNUMBER(J187),J187,0)*10+IF(ISNUMBER(K187),K187,0)*3,"")</f>
        <v/>
      </c>
      <c r="P187" s="27"/>
    </row>
    <row r="188" customFormat="false" ht="15" hidden="false" customHeight="true" outlineLevel="0" collapsed="false">
      <c r="A188" s="27" t="s">
        <v>104</v>
      </c>
      <c r="B188" s="28" t="s">
        <v>64</v>
      </c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9" t="str">
        <f aca="false">IF(AND(ISNUMBER(H188),ISNUMBER(G188),G188&gt;0),H188/G188,"")</f>
        <v/>
      </c>
      <c r="N188" s="30" t="str">
        <f aca="false">IF(AND(ISNUMBER(G188),G188&gt;0),G188/IF(ISNUMBER(ダッシュボード!D12),ダッシュボード!D12,1),"")</f>
        <v/>
      </c>
      <c r="O188" s="31" t="str">
        <f aca="false">IF(ISNUMBER(G188),G188*1+IF(ISNUMBER(H188),H188,0)*5+IF(ISNUMBER(J188),J188,0)*10+IF(ISNUMBER(K188),K188,0)*3,"")</f>
        <v/>
      </c>
      <c r="P188" s="27"/>
    </row>
    <row r="189" customFormat="false" ht="15" hidden="false" customHeight="true" outlineLevel="0" collapsed="false">
      <c r="A189" s="27" t="s">
        <v>104</v>
      </c>
      <c r="B189" s="28" t="s">
        <v>65</v>
      </c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9" t="str">
        <f aca="false">IF(AND(ISNUMBER(H189),ISNUMBER(G189),G189&gt;0),H189/G189,"")</f>
        <v/>
      </c>
      <c r="N189" s="30" t="str">
        <f aca="false">IF(AND(ISNUMBER(G189),G189&gt;0),G189/IF(ISNUMBER(ダッシュボード!D12),ダッシュボード!D12,1),"")</f>
        <v/>
      </c>
      <c r="O189" s="31" t="str">
        <f aca="false">IF(ISNUMBER(G189),G189*1+IF(ISNUMBER(H189),H189,0)*5+IF(ISNUMBER(J189),J189,0)*10+IF(ISNUMBER(K189),K189,0)*3,"")</f>
        <v/>
      </c>
      <c r="P189" s="27"/>
    </row>
    <row r="190" customFormat="false" ht="15" hidden="false" customHeight="true" outlineLevel="0" collapsed="false">
      <c r="A190" s="27" t="s">
        <v>104</v>
      </c>
      <c r="B190" s="28" t="s">
        <v>66</v>
      </c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9" t="str">
        <f aca="false">IF(AND(ISNUMBER(H190),ISNUMBER(G190),G190&gt;0),H190/G190,"")</f>
        <v/>
      </c>
      <c r="N190" s="30" t="str">
        <f aca="false">IF(AND(ISNUMBER(G190),G190&gt;0),G190/IF(ISNUMBER(ダッシュボード!D12),ダッシュボード!D12,1),"")</f>
        <v/>
      </c>
      <c r="O190" s="31" t="str">
        <f aca="false">IF(ISNUMBER(G190),G190*1+IF(ISNUMBER(H190),H190,0)*5+IF(ISNUMBER(J190),J190,0)*10+IF(ISNUMBER(K190),K190,0)*3,"")</f>
        <v/>
      </c>
      <c r="P190" s="27"/>
    </row>
    <row r="191" customFormat="false" ht="15" hidden="false" customHeight="true" outlineLevel="0" collapsed="false">
      <c r="A191" s="27" t="s">
        <v>104</v>
      </c>
      <c r="B191" s="28" t="s">
        <v>67</v>
      </c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9" t="str">
        <f aca="false">IF(AND(ISNUMBER(H191),ISNUMBER(G191),G191&gt;0),H191/G191,"")</f>
        <v/>
      </c>
      <c r="N191" s="30" t="str">
        <f aca="false">IF(AND(ISNUMBER(G191),G191&gt;0),G191/IF(ISNUMBER(ダッシュボード!D12),ダッシュボード!D12,1),"")</f>
        <v/>
      </c>
      <c r="O191" s="31" t="str">
        <f aca="false">IF(ISNUMBER(G191),G191*1+IF(ISNUMBER(H191),H191,0)*5+IF(ISNUMBER(J191),J191,0)*10+IF(ISNUMBER(K191),K191,0)*3,"")</f>
        <v/>
      </c>
      <c r="P191" s="27"/>
    </row>
    <row r="192" customFormat="false" ht="15" hidden="false" customHeight="true" outlineLevel="0" collapsed="false">
      <c r="A192" s="22" t="s">
        <v>105</v>
      </c>
      <c r="B192" s="23" t="s">
        <v>63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4" t="str">
        <f aca="false">IF(AND(ISNUMBER(H192),ISNUMBER(G192),G192&gt;0),H192/G192,"")</f>
        <v/>
      </c>
      <c r="N192" s="25" t="str">
        <f aca="false">IF(AND(ISNUMBER(G192),G192&gt;0),G192/IF(ISNUMBER(ダッシュボード!D12),ダッシュボード!D12,1),"")</f>
        <v/>
      </c>
      <c r="O192" s="26" t="str">
        <f aca="false">IF(ISNUMBER(G192),G192*1+IF(ISNUMBER(H192),H192,0)*5+IF(ISNUMBER(J192),J192,0)*10+IF(ISNUMBER(K192),K192,0)*3,"")</f>
        <v/>
      </c>
      <c r="P192" s="22"/>
    </row>
    <row r="193" customFormat="false" ht="15" hidden="false" customHeight="true" outlineLevel="0" collapsed="false">
      <c r="A193" s="22" t="s">
        <v>105</v>
      </c>
      <c r="B193" s="23" t="s">
        <v>64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4" t="str">
        <f aca="false">IF(AND(ISNUMBER(H193),ISNUMBER(G193),G193&gt;0),H193/G193,"")</f>
        <v/>
      </c>
      <c r="N193" s="25" t="str">
        <f aca="false">IF(AND(ISNUMBER(G193),G193&gt;0),G193/IF(ISNUMBER(ダッシュボード!D12),ダッシュボード!D12,1),"")</f>
        <v/>
      </c>
      <c r="O193" s="26" t="str">
        <f aca="false">IF(ISNUMBER(G193),G193*1+IF(ISNUMBER(H193),H193,0)*5+IF(ISNUMBER(J193),J193,0)*10+IF(ISNUMBER(K193),K193,0)*3,"")</f>
        <v/>
      </c>
      <c r="P193" s="22"/>
    </row>
    <row r="194" customFormat="false" ht="15" hidden="false" customHeight="true" outlineLevel="0" collapsed="false">
      <c r="A194" s="22" t="s">
        <v>105</v>
      </c>
      <c r="B194" s="23" t="s">
        <v>65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4" t="str">
        <f aca="false">IF(AND(ISNUMBER(H194),ISNUMBER(G194),G194&gt;0),H194/G194,"")</f>
        <v/>
      </c>
      <c r="N194" s="25" t="str">
        <f aca="false">IF(AND(ISNUMBER(G194),G194&gt;0),G194/IF(ISNUMBER(ダッシュボード!D12),ダッシュボード!D12,1),"")</f>
        <v/>
      </c>
      <c r="O194" s="26" t="str">
        <f aca="false">IF(ISNUMBER(G194),G194*1+IF(ISNUMBER(H194),H194,0)*5+IF(ISNUMBER(J194),J194,0)*10+IF(ISNUMBER(K194),K194,0)*3,"")</f>
        <v/>
      </c>
      <c r="P194" s="22"/>
    </row>
    <row r="195" customFormat="false" ht="15" hidden="false" customHeight="true" outlineLevel="0" collapsed="false">
      <c r="A195" s="22" t="s">
        <v>105</v>
      </c>
      <c r="B195" s="23" t="s">
        <v>66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4" t="str">
        <f aca="false">IF(AND(ISNUMBER(H195),ISNUMBER(G195),G195&gt;0),H195/G195,"")</f>
        <v/>
      </c>
      <c r="N195" s="25" t="str">
        <f aca="false">IF(AND(ISNUMBER(G195),G195&gt;0),G195/IF(ISNUMBER(ダッシュボード!D12),ダッシュボード!D12,1),"")</f>
        <v/>
      </c>
      <c r="O195" s="26" t="str">
        <f aca="false">IF(ISNUMBER(G195),G195*1+IF(ISNUMBER(H195),H195,0)*5+IF(ISNUMBER(J195),J195,0)*10+IF(ISNUMBER(K195),K195,0)*3,"")</f>
        <v/>
      </c>
      <c r="P195" s="22"/>
    </row>
    <row r="196" customFormat="false" ht="15" hidden="false" customHeight="true" outlineLevel="0" collapsed="false">
      <c r="A196" s="22" t="s">
        <v>105</v>
      </c>
      <c r="B196" s="23" t="s">
        <v>67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4" t="str">
        <f aca="false">IF(AND(ISNUMBER(H196),ISNUMBER(G196),G196&gt;0),H196/G196,"")</f>
        <v/>
      </c>
      <c r="N196" s="25" t="str">
        <f aca="false">IF(AND(ISNUMBER(G196),G196&gt;0),G196/IF(ISNUMBER(ダッシュボード!D12),ダッシュボード!D12,1),"")</f>
        <v/>
      </c>
      <c r="O196" s="26" t="str">
        <f aca="false">IF(ISNUMBER(G196),G196*1+IF(ISNUMBER(H196),H196,0)*5+IF(ISNUMBER(J196),J196,0)*10+IF(ISNUMBER(K196),K196,0)*3,"")</f>
        <v/>
      </c>
      <c r="P196" s="22"/>
    </row>
    <row r="197" customFormat="false" ht="15" hidden="false" customHeight="true" outlineLevel="0" collapsed="false">
      <c r="A197" s="27" t="s">
        <v>106</v>
      </c>
      <c r="B197" s="28" t="s">
        <v>63</v>
      </c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9" t="str">
        <f aca="false">IF(AND(ISNUMBER(H197),ISNUMBER(G197),G197&gt;0),H197/G197,"")</f>
        <v/>
      </c>
      <c r="N197" s="30" t="str">
        <f aca="false">IF(AND(ISNUMBER(G197),G197&gt;0),G197/IF(ISNUMBER(ダッシュボード!D12),ダッシュボード!D12,1),"")</f>
        <v/>
      </c>
      <c r="O197" s="31" t="str">
        <f aca="false">IF(ISNUMBER(G197),G197*1+IF(ISNUMBER(H197),H197,0)*5+IF(ISNUMBER(J197),J197,0)*10+IF(ISNUMBER(K197),K197,0)*3,"")</f>
        <v/>
      </c>
      <c r="P197" s="27"/>
    </row>
    <row r="198" customFormat="false" ht="15" hidden="false" customHeight="true" outlineLevel="0" collapsed="false">
      <c r="A198" s="27" t="s">
        <v>106</v>
      </c>
      <c r="B198" s="28" t="s">
        <v>64</v>
      </c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9" t="str">
        <f aca="false">IF(AND(ISNUMBER(H198),ISNUMBER(G198),G198&gt;0),H198/G198,"")</f>
        <v/>
      </c>
      <c r="N198" s="30" t="str">
        <f aca="false">IF(AND(ISNUMBER(G198),G198&gt;0),G198/IF(ISNUMBER(ダッシュボード!D12),ダッシュボード!D12,1),"")</f>
        <v/>
      </c>
      <c r="O198" s="31" t="str">
        <f aca="false">IF(ISNUMBER(G198),G198*1+IF(ISNUMBER(H198),H198,0)*5+IF(ISNUMBER(J198),J198,0)*10+IF(ISNUMBER(K198),K198,0)*3,"")</f>
        <v/>
      </c>
      <c r="P198" s="27"/>
    </row>
    <row r="199" customFormat="false" ht="15" hidden="false" customHeight="true" outlineLevel="0" collapsed="false">
      <c r="A199" s="27" t="s">
        <v>106</v>
      </c>
      <c r="B199" s="28" t="s">
        <v>65</v>
      </c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9" t="str">
        <f aca="false">IF(AND(ISNUMBER(H199),ISNUMBER(G199),G199&gt;0),H199/G199,"")</f>
        <v/>
      </c>
      <c r="N199" s="30" t="str">
        <f aca="false">IF(AND(ISNUMBER(G199),G199&gt;0),G199/IF(ISNUMBER(ダッシュボード!D12),ダッシュボード!D12,1),"")</f>
        <v/>
      </c>
      <c r="O199" s="31" t="str">
        <f aca="false">IF(ISNUMBER(G199),G199*1+IF(ISNUMBER(H199),H199,0)*5+IF(ISNUMBER(J199),J199,0)*10+IF(ISNUMBER(K199),K199,0)*3,"")</f>
        <v/>
      </c>
      <c r="P199" s="27"/>
    </row>
    <row r="200" customFormat="false" ht="15" hidden="false" customHeight="true" outlineLevel="0" collapsed="false">
      <c r="A200" s="27" t="s">
        <v>106</v>
      </c>
      <c r="B200" s="28" t="s">
        <v>66</v>
      </c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9" t="str">
        <f aca="false">IF(AND(ISNUMBER(H200),ISNUMBER(G200),G200&gt;0),H200/G200,"")</f>
        <v/>
      </c>
      <c r="N200" s="30" t="str">
        <f aca="false">IF(AND(ISNUMBER(G200),G200&gt;0),G200/IF(ISNUMBER(ダッシュボード!D12),ダッシュボード!D12,1),"")</f>
        <v/>
      </c>
      <c r="O200" s="31" t="str">
        <f aca="false">IF(ISNUMBER(G200),G200*1+IF(ISNUMBER(H200),H200,0)*5+IF(ISNUMBER(J200),J200,0)*10+IF(ISNUMBER(K200),K200,0)*3,"")</f>
        <v/>
      </c>
      <c r="P200" s="27"/>
    </row>
    <row r="201" customFormat="false" ht="15" hidden="false" customHeight="true" outlineLevel="0" collapsed="false">
      <c r="A201" s="27" t="s">
        <v>106</v>
      </c>
      <c r="B201" s="28" t="s">
        <v>67</v>
      </c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9" t="str">
        <f aca="false">IF(AND(ISNUMBER(H201),ISNUMBER(G201),G201&gt;0),H201/G201,"")</f>
        <v/>
      </c>
      <c r="N201" s="30" t="str">
        <f aca="false">IF(AND(ISNUMBER(G201),G201&gt;0),G201/IF(ISNUMBER(ダッシュボード!D12),ダッシュボード!D12,1),"")</f>
        <v/>
      </c>
      <c r="O201" s="31" t="str">
        <f aca="false">IF(ISNUMBER(G201),G201*1+IF(ISNUMBER(H201),H201,0)*5+IF(ISNUMBER(J201),J201,0)*10+IF(ISNUMBER(K201),K201,0)*3,"")</f>
        <v/>
      </c>
      <c r="P201" s="27"/>
    </row>
    <row r="202" customFormat="false" ht="15" hidden="false" customHeight="true" outlineLevel="0" collapsed="false">
      <c r="A202" s="22" t="s">
        <v>107</v>
      </c>
      <c r="B202" s="23" t="s">
        <v>63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4" t="str">
        <f aca="false">IF(AND(ISNUMBER(H202),ISNUMBER(G202),G202&gt;0),H202/G202,"")</f>
        <v/>
      </c>
      <c r="N202" s="25" t="str">
        <f aca="false">IF(AND(ISNUMBER(G202),G202&gt;0),G202/IF(ISNUMBER(ダッシュボード!D12),ダッシュボード!D12,1),"")</f>
        <v/>
      </c>
      <c r="O202" s="26" t="str">
        <f aca="false">IF(ISNUMBER(G202),G202*1+IF(ISNUMBER(H202),H202,0)*5+IF(ISNUMBER(J202),J202,0)*10+IF(ISNUMBER(K202),K202,0)*3,"")</f>
        <v/>
      </c>
      <c r="P202" s="22"/>
    </row>
    <row r="203" customFormat="false" ht="15" hidden="false" customHeight="true" outlineLevel="0" collapsed="false">
      <c r="A203" s="22" t="s">
        <v>107</v>
      </c>
      <c r="B203" s="23" t="s">
        <v>64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4" t="str">
        <f aca="false">IF(AND(ISNUMBER(H203),ISNUMBER(G203),G203&gt;0),H203/G203,"")</f>
        <v/>
      </c>
      <c r="N203" s="25" t="str">
        <f aca="false">IF(AND(ISNUMBER(G203),G203&gt;0),G203/IF(ISNUMBER(ダッシュボード!D12),ダッシュボード!D12,1),"")</f>
        <v/>
      </c>
      <c r="O203" s="26" t="str">
        <f aca="false">IF(ISNUMBER(G203),G203*1+IF(ISNUMBER(H203),H203,0)*5+IF(ISNUMBER(J203),J203,0)*10+IF(ISNUMBER(K203),K203,0)*3,"")</f>
        <v/>
      </c>
      <c r="P203" s="22"/>
    </row>
    <row r="204" customFormat="false" ht="15" hidden="false" customHeight="true" outlineLevel="0" collapsed="false">
      <c r="A204" s="22" t="s">
        <v>107</v>
      </c>
      <c r="B204" s="23" t="s">
        <v>65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4" t="str">
        <f aca="false">IF(AND(ISNUMBER(H204),ISNUMBER(G204),G204&gt;0),H204/G204,"")</f>
        <v/>
      </c>
      <c r="N204" s="25" t="str">
        <f aca="false">IF(AND(ISNUMBER(G204),G204&gt;0),G204/IF(ISNUMBER(ダッシュボード!D12),ダッシュボード!D12,1),"")</f>
        <v/>
      </c>
      <c r="O204" s="26" t="str">
        <f aca="false">IF(ISNUMBER(G204),G204*1+IF(ISNUMBER(H204),H204,0)*5+IF(ISNUMBER(J204),J204,0)*10+IF(ISNUMBER(K204),K204,0)*3,"")</f>
        <v/>
      </c>
      <c r="P204" s="22"/>
    </row>
    <row r="205" customFormat="false" ht="15" hidden="false" customHeight="true" outlineLevel="0" collapsed="false">
      <c r="A205" s="22" t="s">
        <v>107</v>
      </c>
      <c r="B205" s="23" t="s">
        <v>66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4" t="str">
        <f aca="false">IF(AND(ISNUMBER(H205),ISNUMBER(G205),G205&gt;0),H205/G205,"")</f>
        <v/>
      </c>
      <c r="N205" s="25" t="str">
        <f aca="false">IF(AND(ISNUMBER(G205),G205&gt;0),G205/IF(ISNUMBER(ダッシュボード!D12),ダッシュボード!D12,1),"")</f>
        <v/>
      </c>
      <c r="O205" s="26" t="str">
        <f aca="false">IF(ISNUMBER(G205),G205*1+IF(ISNUMBER(H205),H205,0)*5+IF(ISNUMBER(J205),J205,0)*10+IF(ISNUMBER(K205),K205,0)*3,"")</f>
        <v/>
      </c>
      <c r="P205" s="22"/>
    </row>
    <row r="206" customFormat="false" ht="15" hidden="false" customHeight="true" outlineLevel="0" collapsed="false">
      <c r="A206" s="22" t="s">
        <v>107</v>
      </c>
      <c r="B206" s="23" t="s">
        <v>67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4" t="str">
        <f aca="false">IF(AND(ISNUMBER(H206),ISNUMBER(G206),G206&gt;0),H206/G206,"")</f>
        <v/>
      </c>
      <c r="N206" s="25" t="str">
        <f aca="false">IF(AND(ISNUMBER(G206),G206&gt;0),G206/IF(ISNUMBER(ダッシュボード!D12),ダッシュボード!D12,1),"")</f>
        <v/>
      </c>
      <c r="O206" s="26" t="str">
        <f aca="false">IF(ISNUMBER(G206),G206*1+IF(ISNUMBER(H206),H206,0)*5+IF(ISNUMBER(J206),J206,0)*10+IF(ISNUMBER(K206),K206,0)*3,"")</f>
        <v/>
      </c>
      <c r="P206" s="22"/>
    </row>
    <row r="207" customFormat="false" ht="15" hidden="false" customHeight="true" outlineLevel="0" collapsed="false">
      <c r="A207" s="27" t="s">
        <v>108</v>
      </c>
      <c r="B207" s="28" t="s">
        <v>63</v>
      </c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9" t="str">
        <f aca="false">IF(AND(ISNUMBER(H207),ISNUMBER(G207),G207&gt;0),H207/G207,"")</f>
        <v/>
      </c>
      <c r="N207" s="30" t="str">
        <f aca="false">IF(AND(ISNUMBER(G207),G207&gt;0),G207/IF(ISNUMBER(ダッシュボード!D12),ダッシュボード!D12,1),"")</f>
        <v/>
      </c>
      <c r="O207" s="31" t="str">
        <f aca="false">IF(ISNUMBER(G207),G207*1+IF(ISNUMBER(H207),H207,0)*5+IF(ISNUMBER(J207),J207,0)*10+IF(ISNUMBER(K207),K207,0)*3,"")</f>
        <v/>
      </c>
      <c r="P207" s="27"/>
    </row>
    <row r="208" customFormat="false" ht="15" hidden="false" customHeight="true" outlineLevel="0" collapsed="false">
      <c r="A208" s="27" t="s">
        <v>108</v>
      </c>
      <c r="B208" s="28" t="s">
        <v>64</v>
      </c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9" t="str">
        <f aca="false">IF(AND(ISNUMBER(H208),ISNUMBER(G208),G208&gt;0),H208/G208,"")</f>
        <v/>
      </c>
      <c r="N208" s="30" t="str">
        <f aca="false">IF(AND(ISNUMBER(G208),G208&gt;0),G208/IF(ISNUMBER(ダッシュボード!D12),ダッシュボード!D12,1),"")</f>
        <v/>
      </c>
      <c r="O208" s="31" t="str">
        <f aca="false">IF(ISNUMBER(G208),G208*1+IF(ISNUMBER(H208),H208,0)*5+IF(ISNUMBER(J208),J208,0)*10+IF(ISNUMBER(K208),K208,0)*3,"")</f>
        <v/>
      </c>
      <c r="P208" s="27"/>
    </row>
    <row r="209" customFormat="false" ht="15" hidden="false" customHeight="true" outlineLevel="0" collapsed="false">
      <c r="A209" s="27" t="s">
        <v>108</v>
      </c>
      <c r="B209" s="28" t="s">
        <v>65</v>
      </c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9" t="str">
        <f aca="false">IF(AND(ISNUMBER(H209),ISNUMBER(G209),G209&gt;0),H209/G209,"")</f>
        <v/>
      </c>
      <c r="N209" s="30" t="str">
        <f aca="false">IF(AND(ISNUMBER(G209),G209&gt;0),G209/IF(ISNUMBER(ダッシュボード!D12),ダッシュボード!D12,1),"")</f>
        <v/>
      </c>
      <c r="O209" s="31" t="str">
        <f aca="false">IF(ISNUMBER(G209),G209*1+IF(ISNUMBER(H209),H209,0)*5+IF(ISNUMBER(J209),J209,0)*10+IF(ISNUMBER(K209),K209,0)*3,"")</f>
        <v/>
      </c>
      <c r="P209" s="27"/>
    </row>
    <row r="210" customFormat="false" ht="15" hidden="false" customHeight="true" outlineLevel="0" collapsed="false">
      <c r="A210" s="27" t="s">
        <v>108</v>
      </c>
      <c r="B210" s="28" t="s">
        <v>66</v>
      </c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9" t="str">
        <f aca="false">IF(AND(ISNUMBER(H210),ISNUMBER(G210),G210&gt;0),H210/G210,"")</f>
        <v/>
      </c>
      <c r="N210" s="30" t="str">
        <f aca="false">IF(AND(ISNUMBER(G210),G210&gt;0),G210/IF(ISNUMBER(ダッシュボード!D12),ダッシュボード!D12,1),"")</f>
        <v/>
      </c>
      <c r="O210" s="31" t="str">
        <f aca="false">IF(ISNUMBER(G210),G210*1+IF(ISNUMBER(H210),H210,0)*5+IF(ISNUMBER(J210),J210,0)*10+IF(ISNUMBER(K210),K210,0)*3,"")</f>
        <v/>
      </c>
      <c r="P210" s="27"/>
    </row>
    <row r="211" customFormat="false" ht="15" hidden="false" customHeight="true" outlineLevel="0" collapsed="false">
      <c r="A211" s="27" t="s">
        <v>108</v>
      </c>
      <c r="B211" s="28" t="s">
        <v>67</v>
      </c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9" t="str">
        <f aca="false">IF(AND(ISNUMBER(H211),ISNUMBER(G211),G211&gt;0),H211/G211,"")</f>
        <v/>
      </c>
      <c r="N211" s="30" t="str">
        <f aca="false">IF(AND(ISNUMBER(G211),G211&gt;0),G211/IF(ISNUMBER(ダッシュボード!D12),ダッシュボード!D12,1),"")</f>
        <v/>
      </c>
      <c r="O211" s="31" t="str">
        <f aca="false">IF(ISNUMBER(G211),G211*1+IF(ISNUMBER(H211),H211,0)*5+IF(ISNUMBER(J211),J211,0)*10+IF(ISNUMBER(K211),K211,0)*3,"")</f>
        <v/>
      </c>
      <c r="P211" s="27"/>
    </row>
    <row r="212" customFormat="false" ht="15" hidden="false" customHeight="true" outlineLevel="0" collapsed="false">
      <c r="A212" s="22" t="s">
        <v>109</v>
      </c>
      <c r="B212" s="23" t="s">
        <v>63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4" t="str">
        <f aca="false">IF(AND(ISNUMBER(H212),ISNUMBER(G212),G212&gt;0),H212/G212,"")</f>
        <v/>
      </c>
      <c r="N212" s="25" t="str">
        <f aca="false">IF(AND(ISNUMBER(G212),G212&gt;0),G212/IF(ISNUMBER(ダッシュボード!D12),ダッシュボード!D12,1),"")</f>
        <v/>
      </c>
      <c r="O212" s="26" t="str">
        <f aca="false">IF(ISNUMBER(G212),G212*1+IF(ISNUMBER(H212),H212,0)*5+IF(ISNUMBER(J212),J212,0)*10+IF(ISNUMBER(K212),K212,0)*3,"")</f>
        <v/>
      </c>
      <c r="P212" s="22"/>
    </row>
    <row r="213" customFormat="false" ht="15" hidden="false" customHeight="true" outlineLevel="0" collapsed="false">
      <c r="A213" s="22" t="s">
        <v>109</v>
      </c>
      <c r="B213" s="23" t="s">
        <v>64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4" t="str">
        <f aca="false">IF(AND(ISNUMBER(H213),ISNUMBER(G213),G213&gt;0),H213/G213,"")</f>
        <v/>
      </c>
      <c r="N213" s="25" t="str">
        <f aca="false">IF(AND(ISNUMBER(G213),G213&gt;0),G213/IF(ISNUMBER(ダッシュボード!D12),ダッシュボード!D12,1),"")</f>
        <v/>
      </c>
      <c r="O213" s="26" t="str">
        <f aca="false">IF(ISNUMBER(G213),G213*1+IF(ISNUMBER(H213),H213,0)*5+IF(ISNUMBER(J213),J213,0)*10+IF(ISNUMBER(K213),K213,0)*3,"")</f>
        <v/>
      </c>
      <c r="P213" s="22"/>
    </row>
    <row r="214" customFormat="false" ht="15" hidden="false" customHeight="true" outlineLevel="0" collapsed="false">
      <c r="A214" s="22" t="s">
        <v>109</v>
      </c>
      <c r="B214" s="23" t="s">
        <v>65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4" t="str">
        <f aca="false">IF(AND(ISNUMBER(H214),ISNUMBER(G214),G214&gt;0),H214/G214,"")</f>
        <v/>
      </c>
      <c r="N214" s="25" t="str">
        <f aca="false">IF(AND(ISNUMBER(G214),G214&gt;0),G214/IF(ISNUMBER(ダッシュボード!D12),ダッシュボード!D12,1),"")</f>
        <v/>
      </c>
      <c r="O214" s="26" t="str">
        <f aca="false">IF(ISNUMBER(G214),G214*1+IF(ISNUMBER(H214),H214,0)*5+IF(ISNUMBER(J214),J214,0)*10+IF(ISNUMBER(K214),K214,0)*3,"")</f>
        <v/>
      </c>
      <c r="P214" s="22"/>
    </row>
    <row r="215" customFormat="false" ht="15" hidden="false" customHeight="true" outlineLevel="0" collapsed="false">
      <c r="A215" s="22" t="s">
        <v>109</v>
      </c>
      <c r="B215" s="23" t="s">
        <v>66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4" t="str">
        <f aca="false">IF(AND(ISNUMBER(H215),ISNUMBER(G215),G215&gt;0),H215/G215,"")</f>
        <v/>
      </c>
      <c r="N215" s="25" t="str">
        <f aca="false">IF(AND(ISNUMBER(G215),G215&gt;0),G215/IF(ISNUMBER(ダッシュボード!D12),ダッシュボード!D12,1),"")</f>
        <v/>
      </c>
      <c r="O215" s="26" t="str">
        <f aca="false">IF(ISNUMBER(G215),G215*1+IF(ISNUMBER(H215),H215,0)*5+IF(ISNUMBER(J215),J215,0)*10+IF(ISNUMBER(K215),K215,0)*3,"")</f>
        <v/>
      </c>
      <c r="P215" s="22"/>
    </row>
    <row r="216" customFormat="false" ht="15" hidden="false" customHeight="true" outlineLevel="0" collapsed="false">
      <c r="A216" s="22" t="s">
        <v>109</v>
      </c>
      <c r="B216" s="23" t="s">
        <v>67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4" t="str">
        <f aca="false">IF(AND(ISNUMBER(H216),ISNUMBER(G216),G216&gt;0),H216/G216,"")</f>
        <v/>
      </c>
      <c r="N216" s="25" t="str">
        <f aca="false">IF(AND(ISNUMBER(G216),G216&gt;0),G216/IF(ISNUMBER(ダッシュボード!D12),ダッシュボード!D12,1),"")</f>
        <v/>
      </c>
      <c r="O216" s="26" t="str">
        <f aca="false">IF(ISNUMBER(G216),G216*1+IF(ISNUMBER(H216),H216,0)*5+IF(ISNUMBER(J216),J216,0)*10+IF(ISNUMBER(K216),K216,0)*3,"")</f>
        <v/>
      </c>
      <c r="P216" s="22"/>
    </row>
    <row r="217" customFormat="false" ht="15" hidden="false" customHeight="true" outlineLevel="0" collapsed="false">
      <c r="A217" s="27" t="s">
        <v>110</v>
      </c>
      <c r="B217" s="28" t="s">
        <v>63</v>
      </c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9" t="str">
        <f aca="false">IF(AND(ISNUMBER(H217),ISNUMBER(G217),G217&gt;0),H217/G217,"")</f>
        <v/>
      </c>
      <c r="N217" s="30" t="str">
        <f aca="false">IF(AND(ISNUMBER(G217),G217&gt;0),G217/IF(ISNUMBER(ダッシュボード!D12),ダッシュボード!D12,1),"")</f>
        <v/>
      </c>
      <c r="O217" s="31" t="str">
        <f aca="false">IF(ISNUMBER(G217),G217*1+IF(ISNUMBER(H217),H217,0)*5+IF(ISNUMBER(J217),J217,0)*10+IF(ISNUMBER(K217),K217,0)*3,"")</f>
        <v/>
      </c>
      <c r="P217" s="27"/>
    </row>
    <row r="218" customFormat="false" ht="15" hidden="false" customHeight="true" outlineLevel="0" collapsed="false">
      <c r="A218" s="27" t="s">
        <v>110</v>
      </c>
      <c r="B218" s="28" t="s">
        <v>64</v>
      </c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9" t="str">
        <f aca="false">IF(AND(ISNUMBER(H218),ISNUMBER(G218),G218&gt;0),H218/G218,"")</f>
        <v/>
      </c>
      <c r="N218" s="30" t="str">
        <f aca="false">IF(AND(ISNUMBER(G218),G218&gt;0),G218/IF(ISNUMBER(ダッシュボード!D12),ダッシュボード!D12,1),"")</f>
        <v/>
      </c>
      <c r="O218" s="31" t="str">
        <f aca="false">IF(ISNUMBER(G218),G218*1+IF(ISNUMBER(H218),H218,0)*5+IF(ISNUMBER(J218),J218,0)*10+IF(ISNUMBER(K218),K218,0)*3,"")</f>
        <v/>
      </c>
      <c r="P218" s="27"/>
    </row>
    <row r="219" customFormat="false" ht="15" hidden="false" customHeight="true" outlineLevel="0" collapsed="false">
      <c r="A219" s="27" t="s">
        <v>110</v>
      </c>
      <c r="B219" s="28" t="s">
        <v>65</v>
      </c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9" t="str">
        <f aca="false">IF(AND(ISNUMBER(H219),ISNUMBER(G219),G219&gt;0),H219/G219,"")</f>
        <v/>
      </c>
      <c r="N219" s="30" t="str">
        <f aca="false">IF(AND(ISNUMBER(G219),G219&gt;0),G219/IF(ISNUMBER(ダッシュボード!D12),ダッシュボード!D12,1),"")</f>
        <v/>
      </c>
      <c r="O219" s="31" t="str">
        <f aca="false">IF(ISNUMBER(G219),G219*1+IF(ISNUMBER(H219),H219,0)*5+IF(ISNUMBER(J219),J219,0)*10+IF(ISNUMBER(K219),K219,0)*3,"")</f>
        <v/>
      </c>
      <c r="P219" s="27"/>
    </row>
    <row r="220" customFormat="false" ht="15" hidden="false" customHeight="true" outlineLevel="0" collapsed="false">
      <c r="A220" s="27" t="s">
        <v>110</v>
      </c>
      <c r="B220" s="28" t="s">
        <v>66</v>
      </c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9" t="str">
        <f aca="false">IF(AND(ISNUMBER(H220),ISNUMBER(G220),G220&gt;0),H220/G220,"")</f>
        <v/>
      </c>
      <c r="N220" s="30" t="str">
        <f aca="false">IF(AND(ISNUMBER(G220),G220&gt;0),G220/IF(ISNUMBER(ダッシュボード!D12),ダッシュボード!D12,1),"")</f>
        <v/>
      </c>
      <c r="O220" s="31" t="str">
        <f aca="false">IF(ISNUMBER(G220),G220*1+IF(ISNUMBER(H220),H220,0)*5+IF(ISNUMBER(J220),J220,0)*10+IF(ISNUMBER(K220),K220,0)*3,"")</f>
        <v/>
      </c>
      <c r="P220" s="27"/>
    </row>
    <row r="221" customFormat="false" ht="15" hidden="false" customHeight="true" outlineLevel="0" collapsed="false">
      <c r="A221" s="27" t="s">
        <v>110</v>
      </c>
      <c r="B221" s="28" t="s">
        <v>67</v>
      </c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9" t="str">
        <f aca="false">IF(AND(ISNUMBER(H221),ISNUMBER(G221),G221&gt;0),H221/G221,"")</f>
        <v/>
      </c>
      <c r="N221" s="30" t="str">
        <f aca="false">IF(AND(ISNUMBER(G221),G221&gt;0),G221/IF(ISNUMBER(ダッシュボード!D12),ダッシュボード!D12,1),"")</f>
        <v/>
      </c>
      <c r="O221" s="31" t="str">
        <f aca="false">IF(ISNUMBER(G221),G221*1+IF(ISNUMBER(H221),H221,0)*5+IF(ISNUMBER(J221),J221,0)*10+IF(ISNUMBER(K221),K221,0)*3,"")</f>
        <v/>
      </c>
      <c r="P221" s="27"/>
    </row>
    <row r="222" customFormat="false" ht="15" hidden="false" customHeight="true" outlineLevel="0" collapsed="false">
      <c r="A222" s="22" t="s">
        <v>111</v>
      </c>
      <c r="B222" s="23" t="s">
        <v>63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4" t="str">
        <f aca="false">IF(AND(ISNUMBER(H222),ISNUMBER(G222),G222&gt;0),H222/G222,"")</f>
        <v/>
      </c>
      <c r="N222" s="25" t="str">
        <f aca="false">IF(AND(ISNUMBER(G222),G222&gt;0),G222/IF(ISNUMBER(ダッシュボード!D12),ダッシュボード!D12,1),"")</f>
        <v/>
      </c>
      <c r="O222" s="26" t="str">
        <f aca="false">IF(ISNUMBER(G222),G222*1+IF(ISNUMBER(H222),H222,0)*5+IF(ISNUMBER(J222),J222,0)*10+IF(ISNUMBER(K222),K222,0)*3,"")</f>
        <v/>
      </c>
      <c r="P222" s="22"/>
    </row>
    <row r="223" customFormat="false" ht="15" hidden="false" customHeight="true" outlineLevel="0" collapsed="false">
      <c r="A223" s="22" t="s">
        <v>111</v>
      </c>
      <c r="B223" s="23" t="s">
        <v>64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4" t="str">
        <f aca="false">IF(AND(ISNUMBER(H223),ISNUMBER(G223),G223&gt;0),H223/G223,"")</f>
        <v/>
      </c>
      <c r="N223" s="25" t="str">
        <f aca="false">IF(AND(ISNUMBER(G223),G223&gt;0),G223/IF(ISNUMBER(ダッシュボード!D12),ダッシュボード!D12,1),"")</f>
        <v/>
      </c>
      <c r="O223" s="26" t="str">
        <f aca="false">IF(ISNUMBER(G223),G223*1+IF(ISNUMBER(H223),H223,0)*5+IF(ISNUMBER(J223),J223,0)*10+IF(ISNUMBER(K223),K223,0)*3,"")</f>
        <v/>
      </c>
      <c r="P223" s="22"/>
    </row>
    <row r="224" customFormat="false" ht="15" hidden="false" customHeight="true" outlineLevel="0" collapsed="false">
      <c r="A224" s="22" t="s">
        <v>111</v>
      </c>
      <c r="B224" s="23" t="s">
        <v>65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4" t="str">
        <f aca="false">IF(AND(ISNUMBER(H224),ISNUMBER(G224),G224&gt;0),H224/G224,"")</f>
        <v/>
      </c>
      <c r="N224" s="25" t="str">
        <f aca="false">IF(AND(ISNUMBER(G224),G224&gt;0),G224/IF(ISNUMBER(ダッシュボード!D12),ダッシュボード!D12,1),"")</f>
        <v/>
      </c>
      <c r="O224" s="26" t="str">
        <f aca="false">IF(ISNUMBER(G224),G224*1+IF(ISNUMBER(H224),H224,0)*5+IF(ISNUMBER(J224),J224,0)*10+IF(ISNUMBER(K224),K224,0)*3,"")</f>
        <v/>
      </c>
      <c r="P224" s="22"/>
    </row>
    <row r="225" customFormat="false" ht="15" hidden="false" customHeight="true" outlineLevel="0" collapsed="false">
      <c r="A225" s="22" t="s">
        <v>111</v>
      </c>
      <c r="B225" s="23" t="s">
        <v>66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4" t="str">
        <f aca="false">IF(AND(ISNUMBER(H225),ISNUMBER(G225),G225&gt;0),H225/G225,"")</f>
        <v/>
      </c>
      <c r="N225" s="25" t="str">
        <f aca="false">IF(AND(ISNUMBER(G225),G225&gt;0),G225/IF(ISNUMBER(ダッシュボード!D12),ダッシュボード!D12,1),"")</f>
        <v/>
      </c>
      <c r="O225" s="26" t="str">
        <f aca="false">IF(ISNUMBER(G225),G225*1+IF(ISNUMBER(H225),H225,0)*5+IF(ISNUMBER(J225),J225,0)*10+IF(ISNUMBER(K225),K225,0)*3,"")</f>
        <v/>
      </c>
      <c r="P225" s="22"/>
    </row>
    <row r="226" customFormat="false" ht="15" hidden="false" customHeight="true" outlineLevel="0" collapsed="false">
      <c r="A226" s="22" t="s">
        <v>111</v>
      </c>
      <c r="B226" s="23" t="s">
        <v>67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4" t="str">
        <f aca="false">IF(AND(ISNUMBER(H226),ISNUMBER(G226),G226&gt;0),H226/G226,"")</f>
        <v/>
      </c>
      <c r="N226" s="25" t="str">
        <f aca="false">IF(AND(ISNUMBER(G226),G226&gt;0),G226/IF(ISNUMBER(ダッシュボード!D12),ダッシュボード!D12,1),"")</f>
        <v/>
      </c>
      <c r="O226" s="26" t="str">
        <f aca="false">IF(ISNUMBER(G226),G226*1+IF(ISNUMBER(H226),H226,0)*5+IF(ISNUMBER(J226),J226,0)*10+IF(ISNUMBER(K226),K226,0)*3,"")</f>
        <v/>
      </c>
      <c r="P226" s="22"/>
    </row>
    <row r="227" customFormat="false" ht="15" hidden="false" customHeight="true" outlineLevel="0" collapsed="false">
      <c r="A227" s="27" t="s">
        <v>112</v>
      </c>
      <c r="B227" s="28" t="s">
        <v>63</v>
      </c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9" t="str">
        <f aca="false">IF(AND(ISNUMBER(H227),ISNUMBER(G227),G227&gt;0),H227/G227,"")</f>
        <v/>
      </c>
      <c r="N227" s="30" t="str">
        <f aca="false">IF(AND(ISNUMBER(G227),G227&gt;0),G227/IF(ISNUMBER(ダッシュボード!D12),ダッシュボード!D12,1),"")</f>
        <v/>
      </c>
      <c r="O227" s="31" t="str">
        <f aca="false">IF(ISNUMBER(G227),G227*1+IF(ISNUMBER(H227),H227,0)*5+IF(ISNUMBER(J227),J227,0)*10+IF(ISNUMBER(K227),K227,0)*3,"")</f>
        <v/>
      </c>
      <c r="P227" s="27"/>
    </row>
    <row r="228" customFormat="false" ht="15" hidden="false" customHeight="true" outlineLevel="0" collapsed="false">
      <c r="A228" s="27" t="s">
        <v>112</v>
      </c>
      <c r="B228" s="28" t="s">
        <v>64</v>
      </c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9" t="str">
        <f aca="false">IF(AND(ISNUMBER(H228),ISNUMBER(G228),G228&gt;0),H228/G228,"")</f>
        <v/>
      </c>
      <c r="N228" s="30" t="str">
        <f aca="false">IF(AND(ISNUMBER(G228),G228&gt;0),G228/IF(ISNUMBER(ダッシュボード!D12),ダッシュボード!D12,1),"")</f>
        <v/>
      </c>
      <c r="O228" s="31" t="str">
        <f aca="false">IF(ISNUMBER(G228),G228*1+IF(ISNUMBER(H228),H228,0)*5+IF(ISNUMBER(J228),J228,0)*10+IF(ISNUMBER(K228),K228,0)*3,"")</f>
        <v/>
      </c>
      <c r="P228" s="27"/>
    </row>
    <row r="229" customFormat="false" ht="15" hidden="false" customHeight="true" outlineLevel="0" collapsed="false">
      <c r="A229" s="27" t="s">
        <v>112</v>
      </c>
      <c r="B229" s="28" t="s">
        <v>65</v>
      </c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9" t="str">
        <f aca="false">IF(AND(ISNUMBER(H229),ISNUMBER(G229),G229&gt;0),H229/G229,"")</f>
        <v/>
      </c>
      <c r="N229" s="30" t="str">
        <f aca="false">IF(AND(ISNUMBER(G229),G229&gt;0),G229/IF(ISNUMBER(ダッシュボード!D12),ダッシュボード!D12,1),"")</f>
        <v/>
      </c>
      <c r="O229" s="31" t="str">
        <f aca="false">IF(ISNUMBER(G229),G229*1+IF(ISNUMBER(H229),H229,0)*5+IF(ISNUMBER(J229),J229,0)*10+IF(ISNUMBER(K229),K229,0)*3,"")</f>
        <v/>
      </c>
      <c r="P229" s="27"/>
    </row>
    <row r="230" customFormat="false" ht="15" hidden="false" customHeight="true" outlineLevel="0" collapsed="false">
      <c r="A230" s="27" t="s">
        <v>112</v>
      </c>
      <c r="B230" s="28" t="s">
        <v>66</v>
      </c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9" t="str">
        <f aca="false">IF(AND(ISNUMBER(H230),ISNUMBER(G230),G230&gt;0),H230/G230,"")</f>
        <v/>
      </c>
      <c r="N230" s="30" t="str">
        <f aca="false">IF(AND(ISNUMBER(G230),G230&gt;0),G230/IF(ISNUMBER(ダッシュボード!D12),ダッシュボード!D12,1),"")</f>
        <v/>
      </c>
      <c r="O230" s="31" t="str">
        <f aca="false">IF(ISNUMBER(G230),G230*1+IF(ISNUMBER(H230),H230,0)*5+IF(ISNUMBER(J230),J230,0)*10+IF(ISNUMBER(K230),K230,0)*3,"")</f>
        <v/>
      </c>
      <c r="P230" s="27"/>
    </row>
    <row r="231" customFormat="false" ht="15" hidden="false" customHeight="true" outlineLevel="0" collapsed="false">
      <c r="A231" s="27" t="s">
        <v>112</v>
      </c>
      <c r="B231" s="28" t="s">
        <v>67</v>
      </c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9" t="str">
        <f aca="false">IF(AND(ISNUMBER(H231),ISNUMBER(G231),G231&gt;0),H231/G231,"")</f>
        <v/>
      </c>
      <c r="N231" s="30" t="str">
        <f aca="false">IF(AND(ISNUMBER(G231),G231&gt;0),G231/IF(ISNUMBER(ダッシュボード!D12),ダッシュボード!D12,1),"")</f>
        <v/>
      </c>
      <c r="O231" s="31" t="str">
        <f aca="false">IF(ISNUMBER(G231),G231*1+IF(ISNUMBER(H231),H231,0)*5+IF(ISNUMBER(J231),J231,0)*10+IF(ISNUMBER(K231),K231,0)*3,"")</f>
        <v/>
      </c>
      <c r="P231" s="27"/>
    </row>
    <row r="232" customFormat="false" ht="15" hidden="false" customHeight="true" outlineLevel="0" collapsed="false">
      <c r="A232" s="22" t="s">
        <v>113</v>
      </c>
      <c r="B232" s="23" t="s">
        <v>63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4" t="str">
        <f aca="false">IF(AND(ISNUMBER(H232),ISNUMBER(G232),G232&gt;0),H232/G232,"")</f>
        <v/>
      </c>
      <c r="N232" s="25" t="str">
        <f aca="false">IF(AND(ISNUMBER(G232),G232&gt;0),G232/IF(ISNUMBER(ダッシュボード!D12),ダッシュボード!D12,1),"")</f>
        <v/>
      </c>
      <c r="O232" s="26" t="str">
        <f aca="false">IF(ISNUMBER(G232),G232*1+IF(ISNUMBER(H232),H232,0)*5+IF(ISNUMBER(J232),J232,0)*10+IF(ISNUMBER(K232),K232,0)*3,"")</f>
        <v/>
      </c>
      <c r="P232" s="22"/>
    </row>
    <row r="233" customFormat="false" ht="15" hidden="false" customHeight="true" outlineLevel="0" collapsed="false">
      <c r="A233" s="22" t="s">
        <v>113</v>
      </c>
      <c r="B233" s="23" t="s">
        <v>64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4" t="str">
        <f aca="false">IF(AND(ISNUMBER(H233),ISNUMBER(G233),G233&gt;0),H233/G233,"")</f>
        <v/>
      </c>
      <c r="N233" s="25" t="str">
        <f aca="false">IF(AND(ISNUMBER(G233),G233&gt;0),G233/IF(ISNUMBER(ダッシュボード!D12),ダッシュボード!D12,1),"")</f>
        <v/>
      </c>
      <c r="O233" s="26" t="str">
        <f aca="false">IF(ISNUMBER(G233),G233*1+IF(ISNUMBER(H233),H233,0)*5+IF(ISNUMBER(J233),J233,0)*10+IF(ISNUMBER(K233),K233,0)*3,"")</f>
        <v/>
      </c>
      <c r="P233" s="22"/>
    </row>
    <row r="234" customFormat="false" ht="15" hidden="false" customHeight="true" outlineLevel="0" collapsed="false">
      <c r="A234" s="22" t="s">
        <v>113</v>
      </c>
      <c r="B234" s="23" t="s">
        <v>65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4" t="str">
        <f aca="false">IF(AND(ISNUMBER(H234),ISNUMBER(G234),G234&gt;0),H234/G234,"")</f>
        <v/>
      </c>
      <c r="N234" s="25" t="str">
        <f aca="false">IF(AND(ISNUMBER(G234),G234&gt;0),G234/IF(ISNUMBER(ダッシュボード!D12),ダッシュボード!D12,1),"")</f>
        <v/>
      </c>
      <c r="O234" s="26" t="str">
        <f aca="false">IF(ISNUMBER(G234),G234*1+IF(ISNUMBER(H234),H234,0)*5+IF(ISNUMBER(J234),J234,0)*10+IF(ISNUMBER(K234),K234,0)*3,"")</f>
        <v/>
      </c>
      <c r="P234" s="22"/>
    </row>
    <row r="235" customFormat="false" ht="15" hidden="false" customHeight="true" outlineLevel="0" collapsed="false">
      <c r="A235" s="22" t="s">
        <v>113</v>
      </c>
      <c r="B235" s="23" t="s">
        <v>66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4" t="str">
        <f aca="false">IF(AND(ISNUMBER(H235),ISNUMBER(G235),G235&gt;0),H235/G235,"")</f>
        <v/>
      </c>
      <c r="N235" s="25" t="str">
        <f aca="false">IF(AND(ISNUMBER(G235),G235&gt;0),G235/IF(ISNUMBER(ダッシュボード!D12),ダッシュボード!D12,1),"")</f>
        <v/>
      </c>
      <c r="O235" s="26" t="str">
        <f aca="false">IF(ISNUMBER(G235),G235*1+IF(ISNUMBER(H235),H235,0)*5+IF(ISNUMBER(J235),J235,0)*10+IF(ISNUMBER(K235),K235,0)*3,"")</f>
        <v/>
      </c>
      <c r="P235" s="22"/>
    </row>
    <row r="236" customFormat="false" ht="15" hidden="false" customHeight="true" outlineLevel="0" collapsed="false">
      <c r="A236" s="22" t="s">
        <v>113</v>
      </c>
      <c r="B236" s="23" t="s">
        <v>67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4" t="str">
        <f aca="false">IF(AND(ISNUMBER(H236),ISNUMBER(G236),G236&gt;0),H236/G236,"")</f>
        <v/>
      </c>
      <c r="N236" s="25" t="str">
        <f aca="false">IF(AND(ISNUMBER(G236),G236&gt;0),G236/IF(ISNUMBER(ダッシュボード!D12),ダッシュボード!D12,1),"")</f>
        <v/>
      </c>
      <c r="O236" s="26" t="str">
        <f aca="false">IF(ISNUMBER(G236),G236*1+IF(ISNUMBER(H236),H236,0)*5+IF(ISNUMBER(J236),J236,0)*10+IF(ISNUMBER(K236),K236,0)*3,"")</f>
        <v/>
      </c>
      <c r="P236" s="22"/>
    </row>
    <row r="237" customFormat="false" ht="15" hidden="false" customHeight="true" outlineLevel="0" collapsed="false">
      <c r="A237" s="27" t="s">
        <v>114</v>
      </c>
      <c r="B237" s="28" t="s">
        <v>63</v>
      </c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9" t="str">
        <f aca="false">IF(AND(ISNUMBER(H237),ISNUMBER(G237),G237&gt;0),H237/G237,"")</f>
        <v/>
      </c>
      <c r="N237" s="30" t="str">
        <f aca="false">IF(AND(ISNUMBER(G237),G237&gt;0),G237/IF(ISNUMBER(ダッシュボード!D12),ダッシュボード!D12,1),"")</f>
        <v/>
      </c>
      <c r="O237" s="31" t="str">
        <f aca="false">IF(ISNUMBER(G237),G237*1+IF(ISNUMBER(H237),H237,0)*5+IF(ISNUMBER(J237),J237,0)*10+IF(ISNUMBER(K237),K237,0)*3,"")</f>
        <v/>
      </c>
      <c r="P237" s="27"/>
    </row>
    <row r="238" customFormat="false" ht="15" hidden="false" customHeight="true" outlineLevel="0" collapsed="false">
      <c r="A238" s="27" t="s">
        <v>114</v>
      </c>
      <c r="B238" s="28" t="s">
        <v>64</v>
      </c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9" t="str">
        <f aca="false">IF(AND(ISNUMBER(H238),ISNUMBER(G238),G238&gt;0),H238/G238,"")</f>
        <v/>
      </c>
      <c r="N238" s="30" t="str">
        <f aca="false">IF(AND(ISNUMBER(G238),G238&gt;0),G238/IF(ISNUMBER(ダッシュボード!D12),ダッシュボード!D12,1),"")</f>
        <v/>
      </c>
      <c r="O238" s="31" t="str">
        <f aca="false">IF(ISNUMBER(G238),G238*1+IF(ISNUMBER(H238),H238,0)*5+IF(ISNUMBER(J238),J238,0)*10+IF(ISNUMBER(K238),K238,0)*3,"")</f>
        <v/>
      </c>
      <c r="P238" s="27"/>
    </row>
    <row r="239" customFormat="false" ht="15" hidden="false" customHeight="true" outlineLevel="0" collapsed="false">
      <c r="A239" s="27" t="s">
        <v>114</v>
      </c>
      <c r="B239" s="28" t="s">
        <v>65</v>
      </c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9" t="str">
        <f aca="false">IF(AND(ISNUMBER(H239),ISNUMBER(G239),G239&gt;0),H239/G239,"")</f>
        <v/>
      </c>
      <c r="N239" s="30" t="str">
        <f aca="false">IF(AND(ISNUMBER(G239),G239&gt;0),G239/IF(ISNUMBER(ダッシュボード!D12),ダッシュボード!D12,1),"")</f>
        <v/>
      </c>
      <c r="O239" s="31" t="str">
        <f aca="false">IF(ISNUMBER(G239),G239*1+IF(ISNUMBER(H239),H239,0)*5+IF(ISNUMBER(J239),J239,0)*10+IF(ISNUMBER(K239),K239,0)*3,"")</f>
        <v/>
      </c>
      <c r="P239" s="27"/>
    </row>
    <row r="240" customFormat="false" ht="15" hidden="false" customHeight="true" outlineLevel="0" collapsed="false">
      <c r="A240" s="27" t="s">
        <v>114</v>
      </c>
      <c r="B240" s="28" t="s">
        <v>66</v>
      </c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9" t="str">
        <f aca="false">IF(AND(ISNUMBER(H240),ISNUMBER(G240),G240&gt;0),H240/G240,"")</f>
        <v/>
      </c>
      <c r="N240" s="30" t="str">
        <f aca="false">IF(AND(ISNUMBER(G240),G240&gt;0),G240/IF(ISNUMBER(ダッシュボード!D12),ダッシュボード!D12,1),"")</f>
        <v/>
      </c>
      <c r="O240" s="31" t="str">
        <f aca="false">IF(ISNUMBER(G240),G240*1+IF(ISNUMBER(H240),H240,0)*5+IF(ISNUMBER(J240),J240,0)*10+IF(ISNUMBER(K240),K240,0)*3,"")</f>
        <v/>
      </c>
      <c r="P240" s="27"/>
    </row>
    <row r="241" customFormat="false" ht="15" hidden="false" customHeight="true" outlineLevel="0" collapsed="false">
      <c r="A241" s="27" t="s">
        <v>114</v>
      </c>
      <c r="B241" s="28" t="s">
        <v>67</v>
      </c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9" t="str">
        <f aca="false">IF(AND(ISNUMBER(H241),ISNUMBER(G241),G241&gt;0),H241/G241,"")</f>
        <v/>
      </c>
      <c r="N241" s="30" t="str">
        <f aca="false">IF(AND(ISNUMBER(G241),G241&gt;0),G241/IF(ISNUMBER(ダッシュボード!D12),ダッシュボード!D12,1),"")</f>
        <v/>
      </c>
      <c r="O241" s="31" t="str">
        <f aca="false">IF(ISNUMBER(G241),G241*1+IF(ISNUMBER(H241),H241,0)*5+IF(ISNUMBER(J241),J241,0)*10+IF(ISNUMBER(K241),K241,0)*3,"")</f>
        <v/>
      </c>
      <c r="P241" s="27"/>
    </row>
    <row r="242" customFormat="false" ht="15" hidden="false" customHeight="true" outlineLevel="0" collapsed="false">
      <c r="A242" s="22" t="s">
        <v>115</v>
      </c>
      <c r="B242" s="23" t="s">
        <v>63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4" t="str">
        <f aca="false">IF(AND(ISNUMBER(H242),ISNUMBER(G242),G242&gt;0),H242/G242,"")</f>
        <v/>
      </c>
      <c r="N242" s="25" t="str">
        <f aca="false">IF(AND(ISNUMBER(G242),G242&gt;0),G242/IF(ISNUMBER(ダッシュボード!D12),ダッシュボード!D12,1),"")</f>
        <v/>
      </c>
      <c r="O242" s="26" t="str">
        <f aca="false">IF(ISNUMBER(G242),G242*1+IF(ISNUMBER(H242),H242,0)*5+IF(ISNUMBER(J242),J242,0)*10+IF(ISNUMBER(K242),K242,0)*3,"")</f>
        <v/>
      </c>
      <c r="P242" s="22"/>
    </row>
    <row r="243" customFormat="false" ht="15" hidden="false" customHeight="true" outlineLevel="0" collapsed="false">
      <c r="A243" s="22" t="s">
        <v>115</v>
      </c>
      <c r="B243" s="23" t="s">
        <v>64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4" t="str">
        <f aca="false">IF(AND(ISNUMBER(H243),ISNUMBER(G243),G243&gt;0),H243/G243,"")</f>
        <v/>
      </c>
      <c r="N243" s="25" t="str">
        <f aca="false">IF(AND(ISNUMBER(G243),G243&gt;0),G243/IF(ISNUMBER(ダッシュボード!D12),ダッシュボード!D12,1),"")</f>
        <v/>
      </c>
      <c r="O243" s="26" t="str">
        <f aca="false">IF(ISNUMBER(G243),G243*1+IF(ISNUMBER(H243),H243,0)*5+IF(ISNUMBER(J243),J243,0)*10+IF(ISNUMBER(K243),K243,0)*3,"")</f>
        <v/>
      </c>
      <c r="P243" s="22"/>
    </row>
    <row r="244" customFormat="false" ht="15" hidden="false" customHeight="true" outlineLevel="0" collapsed="false">
      <c r="A244" s="22" t="s">
        <v>115</v>
      </c>
      <c r="B244" s="23" t="s">
        <v>65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4" t="str">
        <f aca="false">IF(AND(ISNUMBER(H244),ISNUMBER(G244),G244&gt;0),H244/G244,"")</f>
        <v/>
      </c>
      <c r="N244" s="25" t="str">
        <f aca="false">IF(AND(ISNUMBER(G244),G244&gt;0),G244/IF(ISNUMBER(ダッシュボード!D12),ダッシュボード!D12,1),"")</f>
        <v/>
      </c>
      <c r="O244" s="26" t="str">
        <f aca="false">IF(ISNUMBER(G244),G244*1+IF(ISNUMBER(H244),H244,0)*5+IF(ISNUMBER(J244),J244,0)*10+IF(ISNUMBER(K244),K244,0)*3,"")</f>
        <v/>
      </c>
      <c r="P244" s="22"/>
    </row>
    <row r="245" customFormat="false" ht="15" hidden="false" customHeight="true" outlineLevel="0" collapsed="false">
      <c r="A245" s="22" t="s">
        <v>115</v>
      </c>
      <c r="B245" s="23" t="s">
        <v>66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4" t="str">
        <f aca="false">IF(AND(ISNUMBER(H245),ISNUMBER(G245),G245&gt;0),H245/G245,"")</f>
        <v/>
      </c>
      <c r="N245" s="25" t="str">
        <f aca="false">IF(AND(ISNUMBER(G245),G245&gt;0),G245/IF(ISNUMBER(ダッシュボード!D12),ダッシュボード!D12,1),"")</f>
        <v/>
      </c>
      <c r="O245" s="26" t="str">
        <f aca="false">IF(ISNUMBER(G245),G245*1+IF(ISNUMBER(H245),H245,0)*5+IF(ISNUMBER(J245),J245,0)*10+IF(ISNUMBER(K245),K245,0)*3,"")</f>
        <v/>
      </c>
      <c r="P245" s="22"/>
    </row>
    <row r="246" customFormat="false" ht="15" hidden="false" customHeight="true" outlineLevel="0" collapsed="false">
      <c r="A246" s="22" t="s">
        <v>115</v>
      </c>
      <c r="B246" s="23" t="s">
        <v>67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4" t="str">
        <f aca="false">IF(AND(ISNUMBER(H246),ISNUMBER(G246),G246&gt;0),H246/G246,"")</f>
        <v/>
      </c>
      <c r="N246" s="25" t="str">
        <f aca="false">IF(AND(ISNUMBER(G246),G246&gt;0),G246/IF(ISNUMBER(ダッシュボード!D12),ダッシュボード!D12,1),"")</f>
        <v/>
      </c>
      <c r="O246" s="26" t="str">
        <f aca="false">IF(ISNUMBER(G246),G246*1+IF(ISNUMBER(H246),H246,0)*5+IF(ISNUMBER(J246),J246,0)*10+IF(ISNUMBER(K246),K246,0)*3,"")</f>
        <v/>
      </c>
      <c r="P246" s="22"/>
    </row>
    <row r="247" customFormat="false" ht="15" hidden="false" customHeight="true" outlineLevel="0" collapsed="false">
      <c r="A247" s="27" t="s">
        <v>116</v>
      </c>
      <c r="B247" s="28" t="s">
        <v>63</v>
      </c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9" t="str">
        <f aca="false">IF(AND(ISNUMBER(H247),ISNUMBER(G247),G247&gt;0),H247/G247,"")</f>
        <v/>
      </c>
      <c r="N247" s="30" t="str">
        <f aca="false">IF(AND(ISNUMBER(G247),G247&gt;0),G247/IF(ISNUMBER(ダッシュボード!D12),ダッシュボード!D12,1),"")</f>
        <v/>
      </c>
      <c r="O247" s="31" t="str">
        <f aca="false">IF(ISNUMBER(G247),G247*1+IF(ISNUMBER(H247),H247,0)*5+IF(ISNUMBER(J247),J247,0)*10+IF(ISNUMBER(K247),K247,0)*3,"")</f>
        <v/>
      </c>
      <c r="P247" s="27"/>
    </row>
    <row r="248" customFormat="false" ht="15" hidden="false" customHeight="true" outlineLevel="0" collapsed="false">
      <c r="A248" s="27" t="s">
        <v>116</v>
      </c>
      <c r="B248" s="28" t="s">
        <v>64</v>
      </c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9" t="str">
        <f aca="false">IF(AND(ISNUMBER(H248),ISNUMBER(G248),G248&gt;0),H248/G248,"")</f>
        <v/>
      </c>
      <c r="N248" s="30" t="str">
        <f aca="false">IF(AND(ISNUMBER(G248),G248&gt;0),G248/IF(ISNUMBER(ダッシュボード!D12),ダッシュボード!D12,1),"")</f>
        <v/>
      </c>
      <c r="O248" s="31" t="str">
        <f aca="false">IF(ISNUMBER(G248),G248*1+IF(ISNUMBER(H248),H248,0)*5+IF(ISNUMBER(J248),J248,0)*10+IF(ISNUMBER(K248),K248,0)*3,"")</f>
        <v/>
      </c>
      <c r="P248" s="27"/>
    </row>
    <row r="249" customFormat="false" ht="15" hidden="false" customHeight="true" outlineLevel="0" collapsed="false">
      <c r="A249" s="27" t="s">
        <v>116</v>
      </c>
      <c r="B249" s="28" t="s">
        <v>65</v>
      </c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9" t="str">
        <f aca="false">IF(AND(ISNUMBER(H249),ISNUMBER(G249),G249&gt;0),H249/G249,"")</f>
        <v/>
      </c>
      <c r="N249" s="30" t="str">
        <f aca="false">IF(AND(ISNUMBER(G249),G249&gt;0),G249/IF(ISNUMBER(ダッシュボード!D12),ダッシュボード!D12,1),"")</f>
        <v/>
      </c>
      <c r="O249" s="31" t="str">
        <f aca="false">IF(ISNUMBER(G249),G249*1+IF(ISNUMBER(H249),H249,0)*5+IF(ISNUMBER(J249),J249,0)*10+IF(ISNUMBER(K249),K249,0)*3,"")</f>
        <v/>
      </c>
      <c r="P249" s="27"/>
    </row>
    <row r="250" customFormat="false" ht="15" hidden="false" customHeight="true" outlineLevel="0" collapsed="false">
      <c r="A250" s="27" t="s">
        <v>116</v>
      </c>
      <c r="B250" s="28" t="s">
        <v>66</v>
      </c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9" t="str">
        <f aca="false">IF(AND(ISNUMBER(H250),ISNUMBER(G250),G250&gt;0),H250/G250,"")</f>
        <v/>
      </c>
      <c r="N250" s="30" t="str">
        <f aca="false">IF(AND(ISNUMBER(G250),G250&gt;0),G250/IF(ISNUMBER(ダッシュボード!D12),ダッシュボード!D12,1),"")</f>
        <v/>
      </c>
      <c r="O250" s="31" t="str">
        <f aca="false">IF(ISNUMBER(G250),G250*1+IF(ISNUMBER(H250),H250,0)*5+IF(ISNUMBER(J250),J250,0)*10+IF(ISNUMBER(K250),K250,0)*3,"")</f>
        <v/>
      </c>
      <c r="P250" s="27"/>
    </row>
    <row r="251" customFormat="false" ht="15" hidden="false" customHeight="true" outlineLevel="0" collapsed="false">
      <c r="A251" s="27" t="s">
        <v>116</v>
      </c>
      <c r="B251" s="28" t="s">
        <v>67</v>
      </c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9" t="str">
        <f aca="false">IF(AND(ISNUMBER(H251),ISNUMBER(G251),G251&gt;0),H251/G251,"")</f>
        <v/>
      </c>
      <c r="N251" s="30" t="str">
        <f aca="false">IF(AND(ISNUMBER(G251),G251&gt;0),G251/IF(ISNUMBER(ダッシュボード!D12),ダッシュボード!D12,1),"")</f>
        <v/>
      </c>
      <c r="O251" s="31" t="str">
        <f aca="false">IF(ISNUMBER(G251),G251*1+IF(ISNUMBER(H251),H251,0)*5+IF(ISNUMBER(J251),J251,0)*10+IF(ISNUMBER(K251),K251,0)*3,"")</f>
        <v/>
      </c>
      <c r="P251" s="27"/>
    </row>
    <row r="252" customFormat="false" ht="15" hidden="false" customHeight="true" outlineLevel="0" collapsed="false">
      <c r="A252" s="22" t="s">
        <v>117</v>
      </c>
      <c r="B252" s="23" t="s">
        <v>63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4" t="str">
        <f aca="false">IF(AND(ISNUMBER(H252),ISNUMBER(G252),G252&gt;0),H252/G252,"")</f>
        <v/>
      </c>
      <c r="N252" s="25" t="str">
        <f aca="false">IF(AND(ISNUMBER(G252),G252&gt;0),G252/IF(ISNUMBER(ダッシュボード!D12),ダッシュボード!D12,1),"")</f>
        <v/>
      </c>
      <c r="O252" s="26" t="str">
        <f aca="false">IF(ISNUMBER(G252),G252*1+IF(ISNUMBER(H252),H252,0)*5+IF(ISNUMBER(J252),J252,0)*10+IF(ISNUMBER(K252),K252,0)*3,"")</f>
        <v/>
      </c>
      <c r="P252" s="22"/>
    </row>
    <row r="253" customFormat="false" ht="15" hidden="false" customHeight="true" outlineLevel="0" collapsed="false">
      <c r="A253" s="22" t="s">
        <v>117</v>
      </c>
      <c r="B253" s="23" t="s">
        <v>64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4" t="str">
        <f aca="false">IF(AND(ISNUMBER(H253),ISNUMBER(G253),G253&gt;0),H253/G253,"")</f>
        <v/>
      </c>
      <c r="N253" s="25" t="str">
        <f aca="false">IF(AND(ISNUMBER(G253),G253&gt;0),G253/IF(ISNUMBER(ダッシュボード!D12),ダッシュボード!D12,1),"")</f>
        <v/>
      </c>
      <c r="O253" s="26" t="str">
        <f aca="false">IF(ISNUMBER(G253),G253*1+IF(ISNUMBER(H253),H253,0)*5+IF(ISNUMBER(J253),J253,0)*10+IF(ISNUMBER(K253),K253,0)*3,"")</f>
        <v/>
      </c>
      <c r="P253" s="22"/>
    </row>
    <row r="254" customFormat="false" ht="15" hidden="false" customHeight="true" outlineLevel="0" collapsed="false">
      <c r="A254" s="22" t="s">
        <v>117</v>
      </c>
      <c r="B254" s="23" t="s">
        <v>65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4" t="str">
        <f aca="false">IF(AND(ISNUMBER(H254),ISNUMBER(G254),G254&gt;0),H254/G254,"")</f>
        <v/>
      </c>
      <c r="N254" s="25" t="str">
        <f aca="false">IF(AND(ISNUMBER(G254),G254&gt;0),G254/IF(ISNUMBER(ダッシュボード!D12),ダッシュボード!D12,1),"")</f>
        <v/>
      </c>
      <c r="O254" s="26" t="str">
        <f aca="false">IF(ISNUMBER(G254),G254*1+IF(ISNUMBER(H254),H254,0)*5+IF(ISNUMBER(J254),J254,0)*10+IF(ISNUMBER(K254),K254,0)*3,"")</f>
        <v/>
      </c>
      <c r="P254" s="22"/>
    </row>
    <row r="255" customFormat="false" ht="15" hidden="false" customHeight="true" outlineLevel="0" collapsed="false">
      <c r="A255" s="22" t="s">
        <v>117</v>
      </c>
      <c r="B255" s="23" t="s">
        <v>66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4" t="str">
        <f aca="false">IF(AND(ISNUMBER(H255),ISNUMBER(G255),G255&gt;0),H255/G255,"")</f>
        <v/>
      </c>
      <c r="N255" s="25" t="str">
        <f aca="false">IF(AND(ISNUMBER(G255),G255&gt;0),G255/IF(ISNUMBER(ダッシュボード!D12),ダッシュボード!D12,1),"")</f>
        <v/>
      </c>
      <c r="O255" s="26" t="str">
        <f aca="false">IF(ISNUMBER(G255),G255*1+IF(ISNUMBER(H255),H255,0)*5+IF(ISNUMBER(J255),J255,0)*10+IF(ISNUMBER(K255),K255,0)*3,"")</f>
        <v/>
      </c>
      <c r="P255" s="22"/>
    </row>
    <row r="256" customFormat="false" ht="15" hidden="false" customHeight="true" outlineLevel="0" collapsed="false">
      <c r="A256" s="22" t="s">
        <v>117</v>
      </c>
      <c r="B256" s="23" t="s">
        <v>67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4" t="str">
        <f aca="false">IF(AND(ISNUMBER(H256),ISNUMBER(G256),G256&gt;0),H256/G256,"")</f>
        <v/>
      </c>
      <c r="N256" s="25" t="str">
        <f aca="false">IF(AND(ISNUMBER(G256),G256&gt;0),G256/IF(ISNUMBER(ダッシュボード!D12),ダッシュボード!D12,1),"")</f>
        <v/>
      </c>
      <c r="O256" s="26" t="str">
        <f aca="false">IF(ISNUMBER(G256),G256*1+IF(ISNUMBER(H256),H256,0)*5+IF(ISNUMBER(J256),J256,0)*10+IF(ISNUMBER(K256),K256,0)*3,"")</f>
        <v/>
      </c>
      <c r="P256" s="22"/>
    </row>
    <row r="257" customFormat="false" ht="15" hidden="false" customHeight="true" outlineLevel="0" collapsed="false">
      <c r="A257" s="27" t="s">
        <v>118</v>
      </c>
      <c r="B257" s="28" t="s">
        <v>63</v>
      </c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9" t="str">
        <f aca="false">IF(AND(ISNUMBER(H257),ISNUMBER(G257),G257&gt;0),H257/G257,"")</f>
        <v/>
      </c>
      <c r="N257" s="30" t="str">
        <f aca="false">IF(AND(ISNUMBER(G257),G257&gt;0),G257/IF(ISNUMBER(ダッシュボード!D12),ダッシュボード!D12,1),"")</f>
        <v/>
      </c>
      <c r="O257" s="31" t="str">
        <f aca="false">IF(ISNUMBER(G257),G257*1+IF(ISNUMBER(H257),H257,0)*5+IF(ISNUMBER(J257),J257,0)*10+IF(ISNUMBER(K257),K257,0)*3,"")</f>
        <v/>
      </c>
      <c r="P257" s="27"/>
    </row>
    <row r="258" customFormat="false" ht="15" hidden="false" customHeight="true" outlineLevel="0" collapsed="false">
      <c r="A258" s="27" t="s">
        <v>118</v>
      </c>
      <c r="B258" s="28" t="s">
        <v>64</v>
      </c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9" t="str">
        <f aca="false">IF(AND(ISNUMBER(H258),ISNUMBER(G258),G258&gt;0),H258/G258,"")</f>
        <v/>
      </c>
      <c r="N258" s="30" t="str">
        <f aca="false">IF(AND(ISNUMBER(G258),G258&gt;0),G258/IF(ISNUMBER(ダッシュボード!D12),ダッシュボード!D12,1),"")</f>
        <v/>
      </c>
      <c r="O258" s="31" t="str">
        <f aca="false">IF(ISNUMBER(G258),G258*1+IF(ISNUMBER(H258),H258,0)*5+IF(ISNUMBER(J258),J258,0)*10+IF(ISNUMBER(K258),K258,0)*3,"")</f>
        <v/>
      </c>
      <c r="P258" s="27"/>
    </row>
    <row r="259" customFormat="false" ht="15" hidden="false" customHeight="true" outlineLevel="0" collapsed="false">
      <c r="A259" s="27" t="s">
        <v>118</v>
      </c>
      <c r="B259" s="28" t="s">
        <v>65</v>
      </c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9" t="str">
        <f aca="false">IF(AND(ISNUMBER(H259),ISNUMBER(G259),G259&gt;0),H259/G259,"")</f>
        <v/>
      </c>
      <c r="N259" s="30" t="str">
        <f aca="false">IF(AND(ISNUMBER(G259),G259&gt;0),G259/IF(ISNUMBER(ダッシュボード!D12),ダッシュボード!D12,1),"")</f>
        <v/>
      </c>
      <c r="O259" s="31" t="str">
        <f aca="false">IF(ISNUMBER(G259),G259*1+IF(ISNUMBER(H259),H259,0)*5+IF(ISNUMBER(J259),J259,0)*10+IF(ISNUMBER(K259),K259,0)*3,"")</f>
        <v/>
      </c>
      <c r="P259" s="27"/>
    </row>
    <row r="260" customFormat="false" ht="15" hidden="false" customHeight="true" outlineLevel="0" collapsed="false">
      <c r="A260" s="27" t="s">
        <v>118</v>
      </c>
      <c r="B260" s="28" t="s">
        <v>66</v>
      </c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9" t="str">
        <f aca="false">IF(AND(ISNUMBER(H260),ISNUMBER(G260),G260&gt;0),H260/G260,"")</f>
        <v/>
      </c>
      <c r="N260" s="30" t="str">
        <f aca="false">IF(AND(ISNUMBER(G260),G260&gt;0),G260/IF(ISNUMBER(ダッシュボード!D12),ダッシュボード!D12,1),"")</f>
        <v/>
      </c>
      <c r="O260" s="31" t="str">
        <f aca="false">IF(ISNUMBER(G260),G260*1+IF(ISNUMBER(H260),H260,0)*5+IF(ISNUMBER(J260),J260,0)*10+IF(ISNUMBER(K260),K260,0)*3,"")</f>
        <v/>
      </c>
      <c r="P260" s="27"/>
    </row>
    <row r="261" customFormat="false" ht="15" hidden="false" customHeight="true" outlineLevel="0" collapsed="false">
      <c r="A261" s="27" t="s">
        <v>118</v>
      </c>
      <c r="B261" s="28" t="s">
        <v>67</v>
      </c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9" t="str">
        <f aca="false">IF(AND(ISNUMBER(H261),ISNUMBER(G261),G261&gt;0),H261/G261,"")</f>
        <v/>
      </c>
      <c r="N261" s="30" t="str">
        <f aca="false">IF(AND(ISNUMBER(G261),G261&gt;0),G261/IF(ISNUMBER(ダッシュボード!D12),ダッシュボード!D12,1),"")</f>
        <v/>
      </c>
      <c r="O261" s="31" t="str">
        <f aca="false">IF(ISNUMBER(G261),G261*1+IF(ISNUMBER(H261),H261,0)*5+IF(ISNUMBER(J261),J261,0)*10+IF(ISNUMBER(K261),K261,0)*3,"")</f>
        <v/>
      </c>
      <c r="P261" s="27"/>
    </row>
    <row r="262" customFormat="false" ht="15" hidden="false" customHeight="true" outlineLevel="0" collapsed="false">
      <c r="A262" s="22" t="s">
        <v>119</v>
      </c>
      <c r="B262" s="23" t="s">
        <v>63</v>
      </c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4" t="str">
        <f aca="false">IF(AND(ISNUMBER(H262),ISNUMBER(G262),G262&gt;0),H262/G262,"")</f>
        <v/>
      </c>
      <c r="N262" s="25" t="str">
        <f aca="false">IF(AND(ISNUMBER(G262),G262&gt;0),G262/IF(ISNUMBER(ダッシュボード!D12),ダッシュボード!D12,1),"")</f>
        <v/>
      </c>
      <c r="O262" s="26" t="str">
        <f aca="false">IF(ISNUMBER(G262),G262*1+IF(ISNUMBER(H262),H262,0)*5+IF(ISNUMBER(J262),J262,0)*10+IF(ISNUMBER(K262),K262,0)*3,"")</f>
        <v/>
      </c>
      <c r="P262" s="22"/>
    </row>
    <row r="263" customFormat="false" ht="15" hidden="false" customHeight="true" outlineLevel="0" collapsed="false">
      <c r="A263" s="22" t="s">
        <v>119</v>
      </c>
      <c r="B263" s="23" t="s">
        <v>64</v>
      </c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4" t="str">
        <f aca="false">IF(AND(ISNUMBER(H263),ISNUMBER(G263),G263&gt;0),H263/G263,"")</f>
        <v/>
      </c>
      <c r="N263" s="25" t="str">
        <f aca="false">IF(AND(ISNUMBER(G263),G263&gt;0),G263/IF(ISNUMBER(ダッシュボード!D12),ダッシュボード!D12,1),"")</f>
        <v/>
      </c>
      <c r="O263" s="26" t="str">
        <f aca="false">IF(ISNUMBER(G263),G263*1+IF(ISNUMBER(H263),H263,0)*5+IF(ISNUMBER(J263),J263,0)*10+IF(ISNUMBER(K263),K263,0)*3,"")</f>
        <v/>
      </c>
      <c r="P263" s="22"/>
    </row>
    <row r="264" customFormat="false" ht="15" hidden="false" customHeight="true" outlineLevel="0" collapsed="false">
      <c r="A264" s="22" t="s">
        <v>119</v>
      </c>
      <c r="B264" s="23" t="s">
        <v>65</v>
      </c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4" t="str">
        <f aca="false">IF(AND(ISNUMBER(H264),ISNUMBER(G264),G264&gt;0),H264/G264,"")</f>
        <v/>
      </c>
      <c r="N264" s="25" t="str">
        <f aca="false">IF(AND(ISNUMBER(G264),G264&gt;0),G264/IF(ISNUMBER(ダッシュボード!D12),ダッシュボード!D12,1),"")</f>
        <v/>
      </c>
      <c r="O264" s="26" t="str">
        <f aca="false">IF(ISNUMBER(G264),G264*1+IF(ISNUMBER(H264),H264,0)*5+IF(ISNUMBER(J264),J264,0)*10+IF(ISNUMBER(K264),K264,0)*3,"")</f>
        <v/>
      </c>
      <c r="P264" s="22"/>
    </row>
    <row r="265" customFormat="false" ht="15" hidden="false" customHeight="true" outlineLevel="0" collapsed="false">
      <c r="A265" s="22" t="s">
        <v>119</v>
      </c>
      <c r="B265" s="23" t="s">
        <v>66</v>
      </c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4" t="str">
        <f aca="false">IF(AND(ISNUMBER(H265),ISNUMBER(G265),G265&gt;0),H265/G265,"")</f>
        <v/>
      </c>
      <c r="N265" s="25" t="str">
        <f aca="false">IF(AND(ISNUMBER(G265),G265&gt;0),G265/IF(ISNUMBER(ダッシュボード!D12),ダッシュボード!D12,1),"")</f>
        <v/>
      </c>
      <c r="O265" s="26" t="str">
        <f aca="false">IF(ISNUMBER(G265),G265*1+IF(ISNUMBER(H265),H265,0)*5+IF(ISNUMBER(J265),J265,0)*10+IF(ISNUMBER(K265),K265,0)*3,"")</f>
        <v/>
      </c>
      <c r="P265" s="22"/>
    </row>
    <row r="266" customFormat="false" ht="15" hidden="false" customHeight="true" outlineLevel="0" collapsed="false">
      <c r="A266" s="22" t="s">
        <v>119</v>
      </c>
      <c r="B266" s="23" t="s">
        <v>67</v>
      </c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4" t="str">
        <f aca="false">IF(AND(ISNUMBER(H266),ISNUMBER(G266),G266&gt;0),H266/G266,"")</f>
        <v/>
      </c>
      <c r="N266" s="25" t="str">
        <f aca="false">IF(AND(ISNUMBER(G266),G266&gt;0),G266/IF(ISNUMBER(ダッシュボード!D12),ダッシュボード!D12,1),"")</f>
        <v/>
      </c>
      <c r="O266" s="26" t="str">
        <f aca="false">IF(ISNUMBER(G266),G266*1+IF(ISNUMBER(H266),H266,0)*5+IF(ISNUMBER(J266),J266,0)*10+IF(ISNUMBER(K266),K266,0)*3,"")</f>
        <v/>
      </c>
      <c r="P266" s="22"/>
    </row>
    <row r="267" customFormat="false" ht="15" hidden="false" customHeight="true" outlineLevel="0" collapsed="false">
      <c r="A267" s="27" t="s">
        <v>120</v>
      </c>
      <c r="B267" s="28" t="s">
        <v>63</v>
      </c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9" t="str">
        <f aca="false">IF(AND(ISNUMBER(H267),ISNUMBER(G267),G267&gt;0),H267/G267,"")</f>
        <v/>
      </c>
      <c r="N267" s="30" t="str">
        <f aca="false">IF(AND(ISNUMBER(G267),G267&gt;0),G267/IF(ISNUMBER(ダッシュボード!D12),ダッシュボード!D12,1),"")</f>
        <v/>
      </c>
      <c r="O267" s="31" t="str">
        <f aca="false">IF(ISNUMBER(G267),G267*1+IF(ISNUMBER(H267),H267,0)*5+IF(ISNUMBER(J267),J267,0)*10+IF(ISNUMBER(K267),K267,0)*3,"")</f>
        <v/>
      </c>
      <c r="P267" s="27"/>
    </row>
    <row r="268" customFormat="false" ht="15" hidden="false" customHeight="true" outlineLevel="0" collapsed="false">
      <c r="A268" s="27" t="s">
        <v>120</v>
      </c>
      <c r="B268" s="28" t="s">
        <v>64</v>
      </c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9" t="str">
        <f aca="false">IF(AND(ISNUMBER(H268),ISNUMBER(G268),G268&gt;0),H268/G268,"")</f>
        <v/>
      </c>
      <c r="N268" s="30" t="str">
        <f aca="false">IF(AND(ISNUMBER(G268),G268&gt;0),G268/IF(ISNUMBER(ダッシュボード!D12),ダッシュボード!D12,1),"")</f>
        <v/>
      </c>
      <c r="O268" s="31" t="str">
        <f aca="false">IF(ISNUMBER(G268),G268*1+IF(ISNUMBER(H268),H268,0)*5+IF(ISNUMBER(J268),J268,0)*10+IF(ISNUMBER(K268),K268,0)*3,"")</f>
        <v/>
      </c>
      <c r="P268" s="27"/>
    </row>
    <row r="269" customFormat="false" ht="15" hidden="false" customHeight="true" outlineLevel="0" collapsed="false">
      <c r="A269" s="27" t="s">
        <v>120</v>
      </c>
      <c r="B269" s="28" t="s">
        <v>65</v>
      </c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9" t="str">
        <f aca="false">IF(AND(ISNUMBER(H269),ISNUMBER(G269),G269&gt;0),H269/G269,"")</f>
        <v/>
      </c>
      <c r="N269" s="30" t="str">
        <f aca="false">IF(AND(ISNUMBER(G269),G269&gt;0),G269/IF(ISNUMBER(ダッシュボード!D12),ダッシュボード!D12,1),"")</f>
        <v/>
      </c>
      <c r="O269" s="31" t="str">
        <f aca="false">IF(ISNUMBER(G269),G269*1+IF(ISNUMBER(H269),H269,0)*5+IF(ISNUMBER(J269),J269,0)*10+IF(ISNUMBER(K269),K269,0)*3,"")</f>
        <v/>
      </c>
      <c r="P269" s="27"/>
    </row>
    <row r="270" customFormat="false" ht="15" hidden="false" customHeight="true" outlineLevel="0" collapsed="false">
      <c r="A270" s="27" t="s">
        <v>120</v>
      </c>
      <c r="B270" s="28" t="s">
        <v>66</v>
      </c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9" t="str">
        <f aca="false">IF(AND(ISNUMBER(H270),ISNUMBER(G270),G270&gt;0),H270/G270,"")</f>
        <v/>
      </c>
      <c r="N270" s="30" t="str">
        <f aca="false">IF(AND(ISNUMBER(G270),G270&gt;0),G270/IF(ISNUMBER(ダッシュボード!D12),ダッシュボード!D12,1),"")</f>
        <v/>
      </c>
      <c r="O270" s="31" t="str">
        <f aca="false">IF(ISNUMBER(G270),G270*1+IF(ISNUMBER(H270),H270,0)*5+IF(ISNUMBER(J270),J270,0)*10+IF(ISNUMBER(K270),K270,0)*3,"")</f>
        <v/>
      </c>
      <c r="P270" s="27"/>
    </row>
    <row r="271" customFormat="false" ht="15" hidden="false" customHeight="true" outlineLevel="0" collapsed="false">
      <c r="A271" s="27" t="s">
        <v>120</v>
      </c>
      <c r="B271" s="28" t="s">
        <v>67</v>
      </c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9" t="str">
        <f aca="false">IF(AND(ISNUMBER(H271),ISNUMBER(G271),G271&gt;0),H271/G271,"")</f>
        <v/>
      </c>
      <c r="N271" s="30" t="str">
        <f aca="false">IF(AND(ISNUMBER(G271),G271&gt;0),G271/IF(ISNUMBER(ダッシュボード!D12),ダッシュボード!D12,1),"")</f>
        <v/>
      </c>
      <c r="O271" s="31" t="str">
        <f aca="false">IF(ISNUMBER(G271),G271*1+IF(ISNUMBER(H271),H271,0)*5+IF(ISNUMBER(J271),J271,0)*10+IF(ISNUMBER(K271),K271,0)*3,"")</f>
        <v/>
      </c>
      <c r="P271" s="27"/>
    </row>
    <row r="272" customFormat="false" ht="15" hidden="false" customHeight="true" outlineLevel="0" collapsed="false">
      <c r="A272" s="22" t="s">
        <v>121</v>
      </c>
      <c r="B272" s="23" t="s">
        <v>63</v>
      </c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4" t="str">
        <f aca="false">IF(AND(ISNUMBER(H272),ISNUMBER(G272),G272&gt;0),H272/G272,"")</f>
        <v/>
      </c>
      <c r="N272" s="25" t="str">
        <f aca="false">IF(AND(ISNUMBER(G272),G272&gt;0),G272/IF(ISNUMBER(ダッシュボード!D12),ダッシュボード!D12,1),"")</f>
        <v/>
      </c>
      <c r="O272" s="26" t="str">
        <f aca="false">IF(ISNUMBER(G272),G272*1+IF(ISNUMBER(H272),H272,0)*5+IF(ISNUMBER(J272),J272,0)*10+IF(ISNUMBER(K272),K272,0)*3,"")</f>
        <v/>
      </c>
      <c r="P272" s="22"/>
    </row>
    <row r="273" customFormat="false" ht="15" hidden="false" customHeight="true" outlineLevel="0" collapsed="false">
      <c r="A273" s="22" t="s">
        <v>121</v>
      </c>
      <c r="B273" s="23" t="s">
        <v>64</v>
      </c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4" t="str">
        <f aca="false">IF(AND(ISNUMBER(H273),ISNUMBER(G273),G273&gt;0),H273/G273,"")</f>
        <v/>
      </c>
      <c r="N273" s="25" t="str">
        <f aca="false">IF(AND(ISNUMBER(G273),G273&gt;0),G273/IF(ISNUMBER(ダッシュボード!D12),ダッシュボード!D12,1),"")</f>
        <v/>
      </c>
      <c r="O273" s="26" t="str">
        <f aca="false">IF(ISNUMBER(G273),G273*1+IF(ISNUMBER(H273),H273,0)*5+IF(ISNUMBER(J273),J273,0)*10+IF(ISNUMBER(K273),K273,0)*3,"")</f>
        <v/>
      </c>
      <c r="P273" s="22"/>
    </row>
    <row r="274" customFormat="false" ht="15" hidden="false" customHeight="true" outlineLevel="0" collapsed="false">
      <c r="A274" s="22" t="s">
        <v>121</v>
      </c>
      <c r="B274" s="23" t="s">
        <v>65</v>
      </c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4" t="str">
        <f aca="false">IF(AND(ISNUMBER(H274),ISNUMBER(G274),G274&gt;0),H274/G274,"")</f>
        <v/>
      </c>
      <c r="N274" s="25" t="str">
        <f aca="false">IF(AND(ISNUMBER(G274),G274&gt;0),G274/IF(ISNUMBER(ダッシュボード!D12),ダッシュボード!D12,1),"")</f>
        <v/>
      </c>
      <c r="O274" s="26" t="str">
        <f aca="false">IF(ISNUMBER(G274),G274*1+IF(ISNUMBER(H274),H274,0)*5+IF(ISNUMBER(J274),J274,0)*10+IF(ISNUMBER(K274),K274,0)*3,"")</f>
        <v/>
      </c>
      <c r="P274" s="22"/>
    </row>
    <row r="275" customFormat="false" ht="15" hidden="false" customHeight="true" outlineLevel="0" collapsed="false">
      <c r="A275" s="22" t="s">
        <v>121</v>
      </c>
      <c r="B275" s="23" t="s">
        <v>66</v>
      </c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4" t="str">
        <f aca="false">IF(AND(ISNUMBER(H275),ISNUMBER(G275),G275&gt;0),H275/G275,"")</f>
        <v/>
      </c>
      <c r="N275" s="25" t="str">
        <f aca="false">IF(AND(ISNUMBER(G275),G275&gt;0),G275/IF(ISNUMBER(ダッシュボード!D12),ダッシュボード!D12,1),"")</f>
        <v/>
      </c>
      <c r="O275" s="26" t="str">
        <f aca="false">IF(ISNUMBER(G275),G275*1+IF(ISNUMBER(H275),H275,0)*5+IF(ISNUMBER(J275),J275,0)*10+IF(ISNUMBER(K275),K275,0)*3,"")</f>
        <v/>
      </c>
      <c r="P275" s="22"/>
    </row>
    <row r="276" customFormat="false" ht="15" hidden="false" customHeight="true" outlineLevel="0" collapsed="false">
      <c r="A276" s="22" t="s">
        <v>121</v>
      </c>
      <c r="B276" s="23" t="s">
        <v>67</v>
      </c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4" t="str">
        <f aca="false">IF(AND(ISNUMBER(H276),ISNUMBER(G276),G276&gt;0),H276/G276,"")</f>
        <v/>
      </c>
      <c r="N276" s="25" t="str">
        <f aca="false">IF(AND(ISNUMBER(G276),G276&gt;0),G276/IF(ISNUMBER(ダッシュボード!D12),ダッシュボード!D12,1),"")</f>
        <v/>
      </c>
      <c r="O276" s="26" t="str">
        <f aca="false">IF(ISNUMBER(G276),G276*1+IF(ISNUMBER(H276),H276,0)*5+IF(ISNUMBER(J276),J276,0)*10+IF(ISNUMBER(K276),K276,0)*3,"")</f>
        <v/>
      </c>
      <c r="P276" s="22"/>
    </row>
    <row r="277" customFormat="false" ht="15" hidden="false" customHeight="true" outlineLevel="0" collapsed="false">
      <c r="A277" s="27" t="s">
        <v>122</v>
      </c>
      <c r="B277" s="28" t="s">
        <v>63</v>
      </c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9" t="str">
        <f aca="false">IF(AND(ISNUMBER(H277),ISNUMBER(G277),G277&gt;0),H277/G277,"")</f>
        <v/>
      </c>
      <c r="N277" s="30" t="str">
        <f aca="false">IF(AND(ISNUMBER(G277),G277&gt;0),G277/IF(ISNUMBER(ダッシュボード!D12),ダッシュボード!D12,1),"")</f>
        <v/>
      </c>
      <c r="O277" s="31" t="str">
        <f aca="false">IF(ISNUMBER(G277),G277*1+IF(ISNUMBER(H277),H277,0)*5+IF(ISNUMBER(J277),J277,0)*10+IF(ISNUMBER(K277),K277,0)*3,"")</f>
        <v/>
      </c>
      <c r="P277" s="27"/>
    </row>
    <row r="278" customFormat="false" ht="15" hidden="false" customHeight="true" outlineLevel="0" collapsed="false">
      <c r="A278" s="27" t="s">
        <v>122</v>
      </c>
      <c r="B278" s="28" t="s">
        <v>64</v>
      </c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9" t="str">
        <f aca="false">IF(AND(ISNUMBER(H278),ISNUMBER(G278),G278&gt;0),H278/G278,"")</f>
        <v/>
      </c>
      <c r="N278" s="30" t="str">
        <f aca="false">IF(AND(ISNUMBER(G278),G278&gt;0),G278/IF(ISNUMBER(ダッシュボード!D12),ダッシュボード!D12,1),"")</f>
        <v/>
      </c>
      <c r="O278" s="31" t="str">
        <f aca="false">IF(ISNUMBER(G278),G278*1+IF(ISNUMBER(H278),H278,0)*5+IF(ISNUMBER(J278),J278,0)*10+IF(ISNUMBER(K278),K278,0)*3,"")</f>
        <v/>
      </c>
      <c r="P278" s="27"/>
    </row>
    <row r="279" customFormat="false" ht="15" hidden="false" customHeight="true" outlineLevel="0" collapsed="false">
      <c r="A279" s="27" t="s">
        <v>122</v>
      </c>
      <c r="B279" s="28" t="s">
        <v>65</v>
      </c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9" t="str">
        <f aca="false">IF(AND(ISNUMBER(H279),ISNUMBER(G279),G279&gt;0),H279/G279,"")</f>
        <v/>
      </c>
      <c r="N279" s="30" t="str">
        <f aca="false">IF(AND(ISNUMBER(G279),G279&gt;0),G279/IF(ISNUMBER(ダッシュボード!D12),ダッシュボード!D12,1),"")</f>
        <v/>
      </c>
      <c r="O279" s="31" t="str">
        <f aca="false">IF(ISNUMBER(G279),G279*1+IF(ISNUMBER(H279),H279,0)*5+IF(ISNUMBER(J279),J279,0)*10+IF(ISNUMBER(K279),K279,0)*3,"")</f>
        <v/>
      </c>
      <c r="P279" s="27"/>
    </row>
    <row r="280" customFormat="false" ht="15" hidden="false" customHeight="true" outlineLevel="0" collapsed="false">
      <c r="A280" s="27" t="s">
        <v>122</v>
      </c>
      <c r="B280" s="28" t="s">
        <v>66</v>
      </c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9" t="str">
        <f aca="false">IF(AND(ISNUMBER(H280),ISNUMBER(G280),G280&gt;0),H280/G280,"")</f>
        <v/>
      </c>
      <c r="N280" s="30" t="str">
        <f aca="false">IF(AND(ISNUMBER(G280),G280&gt;0),G280/IF(ISNUMBER(ダッシュボード!D12),ダッシュボード!D12,1),"")</f>
        <v/>
      </c>
      <c r="O280" s="31" t="str">
        <f aca="false">IF(ISNUMBER(G280),G280*1+IF(ISNUMBER(H280),H280,0)*5+IF(ISNUMBER(J280),J280,0)*10+IF(ISNUMBER(K280),K280,0)*3,"")</f>
        <v/>
      </c>
      <c r="P280" s="27"/>
    </row>
    <row r="281" customFormat="false" ht="15" hidden="false" customHeight="true" outlineLevel="0" collapsed="false">
      <c r="A281" s="27" t="s">
        <v>122</v>
      </c>
      <c r="B281" s="28" t="s">
        <v>67</v>
      </c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9" t="str">
        <f aca="false">IF(AND(ISNUMBER(H281),ISNUMBER(G281),G281&gt;0),H281/G281,"")</f>
        <v/>
      </c>
      <c r="N281" s="30" t="str">
        <f aca="false">IF(AND(ISNUMBER(G281),G281&gt;0),G281/IF(ISNUMBER(ダッシュボード!D12),ダッシュボード!D12,1),"")</f>
        <v/>
      </c>
      <c r="O281" s="31" t="str">
        <f aca="false">IF(ISNUMBER(G281),G281*1+IF(ISNUMBER(H281),H281,0)*5+IF(ISNUMBER(J281),J281,0)*10+IF(ISNUMBER(K281),K281,0)*3,"")</f>
        <v/>
      </c>
      <c r="P281" s="27"/>
    </row>
    <row r="282" customFormat="false" ht="15" hidden="false" customHeight="true" outlineLevel="0" collapsed="false">
      <c r="A282" s="22" t="s">
        <v>123</v>
      </c>
      <c r="B282" s="23" t="s">
        <v>63</v>
      </c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4" t="str">
        <f aca="false">IF(AND(ISNUMBER(H282),ISNUMBER(G282),G282&gt;0),H282/G282,"")</f>
        <v/>
      </c>
      <c r="N282" s="25" t="str">
        <f aca="false">IF(AND(ISNUMBER(G282),G282&gt;0),G282/IF(ISNUMBER(ダッシュボード!D12),ダッシュボード!D12,1),"")</f>
        <v/>
      </c>
      <c r="O282" s="26" t="str">
        <f aca="false">IF(ISNUMBER(G282),G282*1+IF(ISNUMBER(H282),H282,0)*5+IF(ISNUMBER(J282),J282,0)*10+IF(ISNUMBER(K282),K282,0)*3,"")</f>
        <v/>
      </c>
      <c r="P282" s="22"/>
    </row>
    <row r="283" customFormat="false" ht="15" hidden="false" customHeight="true" outlineLevel="0" collapsed="false">
      <c r="A283" s="22" t="s">
        <v>123</v>
      </c>
      <c r="B283" s="23" t="s">
        <v>64</v>
      </c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4" t="str">
        <f aca="false">IF(AND(ISNUMBER(H283),ISNUMBER(G283),G283&gt;0),H283/G283,"")</f>
        <v/>
      </c>
      <c r="N283" s="25" t="str">
        <f aca="false">IF(AND(ISNUMBER(G283),G283&gt;0),G283/IF(ISNUMBER(ダッシュボード!D12),ダッシュボード!D12,1),"")</f>
        <v/>
      </c>
      <c r="O283" s="26" t="str">
        <f aca="false">IF(ISNUMBER(G283),G283*1+IF(ISNUMBER(H283),H283,0)*5+IF(ISNUMBER(J283),J283,0)*10+IF(ISNUMBER(K283),K283,0)*3,"")</f>
        <v/>
      </c>
      <c r="P283" s="22"/>
    </row>
    <row r="284" customFormat="false" ht="15" hidden="false" customHeight="true" outlineLevel="0" collapsed="false">
      <c r="A284" s="22" t="s">
        <v>123</v>
      </c>
      <c r="B284" s="23" t="s">
        <v>65</v>
      </c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4" t="str">
        <f aca="false">IF(AND(ISNUMBER(H284),ISNUMBER(G284),G284&gt;0),H284/G284,"")</f>
        <v/>
      </c>
      <c r="N284" s="25" t="str">
        <f aca="false">IF(AND(ISNUMBER(G284),G284&gt;0),G284/IF(ISNUMBER(ダッシュボード!D12),ダッシュボード!D12,1),"")</f>
        <v/>
      </c>
      <c r="O284" s="26" t="str">
        <f aca="false">IF(ISNUMBER(G284),G284*1+IF(ISNUMBER(H284),H284,0)*5+IF(ISNUMBER(J284),J284,0)*10+IF(ISNUMBER(K284),K284,0)*3,"")</f>
        <v/>
      </c>
      <c r="P284" s="22"/>
    </row>
    <row r="285" customFormat="false" ht="15" hidden="false" customHeight="true" outlineLevel="0" collapsed="false">
      <c r="A285" s="22" t="s">
        <v>123</v>
      </c>
      <c r="B285" s="23" t="s">
        <v>66</v>
      </c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4" t="str">
        <f aca="false">IF(AND(ISNUMBER(H285),ISNUMBER(G285),G285&gt;0),H285/G285,"")</f>
        <v/>
      </c>
      <c r="N285" s="25" t="str">
        <f aca="false">IF(AND(ISNUMBER(G285),G285&gt;0),G285/IF(ISNUMBER(ダッシュボード!D12),ダッシュボード!D12,1),"")</f>
        <v/>
      </c>
      <c r="O285" s="26" t="str">
        <f aca="false">IF(ISNUMBER(G285),G285*1+IF(ISNUMBER(H285),H285,0)*5+IF(ISNUMBER(J285),J285,0)*10+IF(ISNUMBER(K285),K285,0)*3,"")</f>
        <v/>
      </c>
      <c r="P285" s="22"/>
    </row>
    <row r="286" customFormat="false" ht="15" hidden="false" customHeight="true" outlineLevel="0" collapsed="false">
      <c r="A286" s="22" t="s">
        <v>123</v>
      </c>
      <c r="B286" s="23" t="s">
        <v>67</v>
      </c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4" t="str">
        <f aca="false">IF(AND(ISNUMBER(H286),ISNUMBER(G286),G286&gt;0),H286/G286,"")</f>
        <v/>
      </c>
      <c r="N286" s="25" t="str">
        <f aca="false">IF(AND(ISNUMBER(G286),G286&gt;0),G286/IF(ISNUMBER(ダッシュボード!D12),ダッシュボード!D12,1),"")</f>
        <v/>
      </c>
      <c r="O286" s="26" t="str">
        <f aca="false">IF(ISNUMBER(G286),G286*1+IF(ISNUMBER(H286),H286,0)*5+IF(ISNUMBER(J286),J286,0)*10+IF(ISNUMBER(K286),K286,0)*3,"")</f>
        <v/>
      </c>
      <c r="P286" s="22"/>
    </row>
    <row r="287" customFormat="false" ht="15" hidden="false" customHeight="true" outlineLevel="0" collapsed="false">
      <c r="A287" s="27" t="s">
        <v>124</v>
      </c>
      <c r="B287" s="28" t="s">
        <v>63</v>
      </c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9" t="str">
        <f aca="false">IF(AND(ISNUMBER(H287),ISNUMBER(G287),G287&gt;0),H287/G287,"")</f>
        <v/>
      </c>
      <c r="N287" s="30" t="str">
        <f aca="false">IF(AND(ISNUMBER(G287),G287&gt;0),G287/IF(ISNUMBER(ダッシュボード!D12),ダッシュボード!D12,1),"")</f>
        <v/>
      </c>
      <c r="O287" s="31" t="str">
        <f aca="false">IF(ISNUMBER(G287),G287*1+IF(ISNUMBER(H287),H287,0)*5+IF(ISNUMBER(J287),J287,0)*10+IF(ISNUMBER(K287),K287,0)*3,"")</f>
        <v/>
      </c>
      <c r="P287" s="27"/>
    </row>
    <row r="288" customFormat="false" ht="15" hidden="false" customHeight="true" outlineLevel="0" collapsed="false">
      <c r="A288" s="27" t="s">
        <v>124</v>
      </c>
      <c r="B288" s="28" t="s">
        <v>64</v>
      </c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9" t="str">
        <f aca="false">IF(AND(ISNUMBER(H288),ISNUMBER(G288),G288&gt;0),H288/G288,"")</f>
        <v/>
      </c>
      <c r="N288" s="30" t="str">
        <f aca="false">IF(AND(ISNUMBER(G288),G288&gt;0),G288/IF(ISNUMBER(ダッシュボード!D12),ダッシュボード!D12,1),"")</f>
        <v/>
      </c>
      <c r="O288" s="31" t="str">
        <f aca="false">IF(ISNUMBER(G288),G288*1+IF(ISNUMBER(H288),H288,0)*5+IF(ISNUMBER(J288),J288,0)*10+IF(ISNUMBER(K288),K288,0)*3,"")</f>
        <v/>
      </c>
      <c r="P288" s="27"/>
    </row>
    <row r="289" customFormat="false" ht="15" hidden="false" customHeight="true" outlineLevel="0" collapsed="false">
      <c r="A289" s="27" t="s">
        <v>124</v>
      </c>
      <c r="B289" s="28" t="s">
        <v>65</v>
      </c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9" t="str">
        <f aca="false">IF(AND(ISNUMBER(H289),ISNUMBER(G289),G289&gt;0),H289/G289,"")</f>
        <v/>
      </c>
      <c r="N289" s="30" t="str">
        <f aca="false">IF(AND(ISNUMBER(G289),G289&gt;0),G289/IF(ISNUMBER(ダッシュボード!D12),ダッシュボード!D12,1),"")</f>
        <v/>
      </c>
      <c r="O289" s="31" t="str">
        <f aca="false">IF(ISNUMBER(G289),G289*1+IF(ISNUMBER(H289),H289,0)*5+IF(ISNUMBER(J289),J289,0)*10+IF(ISNUMBER(K289),K289,0)*3,"")</f>
        <v/>
      </c>
      <c r="P289" s="27"/>
    </row>
    <row r="290" customFormat="false" ht="15" hidden="false" customHeight="true" outlineLevel="0" collapsed="false">
      <c r="A290" s="27" t="s">
        <v>124</v>
      </c>
      <c r="B290" s="28" t="s">
        <v>66</v>
      </c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9" t="str">
        <f aca="false">IF(AND(ISNUMBER(H290),ISNUMBER(G290),G290&gt;0),H290/G290,"")</f>
        <v/>
      </c>
      <c r="N290" s="30" t="str">
        <f aca="false">IF(AND(ISNUMBER(G290),G290&gt;0),G290/IF(ISNUMBER(ダッシュボード!D12),ダッシュボード!D12,1),"")</f>
        <v/>
      </c>
      <c r="O290" s="31" t="str">
        <f aca="false">IF(ISNUMBER(G290),G290*1+IF(ISNUMBER(H290),H290,0)*5+IF(ISNUMBER(J290),J290,0)*10+IF(ISNUMBER(K290),K290,0)*3,"")</f>
        <v/>
      </c>
      <c r="P290" s="27"/>
    </row>
    <row r="291" customFormat="false" ht="15" hidden="false" customHeight="true" outlineLevel="0" collapsed="false">
      <c r="A291" s="27" t="s">
        <v>124</v>
      </c>
      <c r="B291" s="28" t="s">
        <v>67</v>
      </c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9" t="str">
        <f aca="false">IF(AND(ISNUMBER(H291),ISNUMBER(G291),G291&gt;0),H291/G291,"")</f>
        <v/>
      </c>
      <c r="N291" s="30" t="str">
        <f aca="false">IF(AND(ISNUMBER(G291),G291&gt;0),G291/IF(ISNUMBER(ダッシュボード!D12),ダッシュボード!D12,1),"")</f>
        <v/>
      </c>
      <c r="O291" s="31" t="str">
        <f aca="false">IF(ISNUMBER(G291),G291*1+IF(ISNUMBER(H291),H291,0)*5+IF(ISNUMBER(J291),J291,0)*10+IF(ISNUMBER(K291),K291,0)*3,"")</f>
        <v/>
      </c>
      <c r="P291" s="27"/>
    </row>
    <row r="292" customFormat="false" ht="15" hidden="false" customHeight="true" outlineLevel="0" collapsed="false">
      <c r="A292" s="22" t="s">
        <v>125</v>
      </c>
      <c r="B292" s="23" t="s">
        <v>63</v>
      </c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4" t="str">
        <f aca="false">IF(AND(ISNUMBER(H292),ISNUMBER(G292),G292&gt;0),H292/G292,"")</f>
        <v/>
      </c>
      <c r="N292" s="25" t="str">
        <f aca="false">IF(AND(ISNUMBER(G292),G292&gt;0),G292/IF(ISNUMBER(ダッシュボード!D12),ダッシュボード!D12,1),"")</f>
        <v/>
      </c>
      <c r="O292" s="26" t="str">
        <f aca="false">IF(ISNUMBER(G292),G292*1+IF(ISNUMBER(H292),H292,0)*5+IF(ISNUMBER(J292),J292,0)*10+IF(ISNUMBER(K292),K292,0)*3,"")</f>
        <v/>
      </c>
      <c r="P292" s="22"/>
    </row>
    <row r="293" customFormat="false" ht="15" hidden="false" customHeight="true" outlineLevel="0" collapsed="false">
      <c r="A293" s="22" t="s">
        <v>125</v>
      </c>
      <c r="B293" s="23" t="s">
        <v>64</v>
      </c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4" t="str">
        <f aca="false">IF(AND(ISNUMBER(H293),ISNUMBER(G293),G293&gt;0),H293/G293,"")</f>
        <v/>
      </c>
      <c r="N293" s="25" t="str">
        <f aca="false">IF(AND(ISNUMBER(G293),G293&gt;0),G293/IF(ISNUMBER(ダッシュボード!D12),ダッシュボード!D12,1),"")</f>
        <v/>
      </c>
      <c r="O293" s="26" t="str">
        <f aca="false">IF(ISNUMBER(G293),G293*1+IF(ISNUMBER(H293),H293,0)*5+IF(ISNUMBER(J293),J293,0)*10+IF(ISNUMBER(K293),K293,0)*3,"")</f>
        <v/>
      </c>
      <c r="P293" s="22"/>
    </row>
    <row r="294" customFormat="false" ht="15" hidden="false" customHeight="true" outlineLevel="0" collapsed="false">
      <c r="A294" s="22" t="s">
        <v>125</v>
      </c>
      <c r="B294" s="23" t="s">
        <v>65</v>
      </c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4" t="str">
        <f aca="false">IF(AND(ISNUMBER(H294),ISNUMBER(G294),G294&gt;0),H294/G294,"")</f>
        <v/>
      </c>
      <c r="N294" s="25" t="str">
        <f aca="false">IF(AND(ISNUMBER(G294),G294&gt;0),G294/IF(ISNUMBER(ダッシュボード!D12),ダッシュボード!D12,1),"")</f>
        <v/>
      </c>
      <c r="O294" s="26" t="str">
        <f aca="false">IF(ISNUMBER(G294),G294*1+IF(ISNUMBER(H294),H294,0)*5+IF(ISNUMBER(J294),J294,0)*10+IF(ISNUMBER(K294),K294,0)*3,"")</f>
        <v/>
      </c>
      <c r="P294" s="22"/>
    </row>
    <row r="295" customFormat="false" ht="15" hidden="false" customHeight="true" outlineLevel="0" collapsed="false">
      <c r="A295" s="22" t="s">
        <v>125</v>
      </c>
      <c r="B295" s="23" t="s">
        <v>66</v>
      </c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4" t="str">
        <f aca="false">IF(AND(ISNUMBER(H295),ISNUMBER(G295),G295&gt;0),H295/G295,"")</f>
        <v/>
      </c>
      <c r="N295" s="25" t="str">
        <f aca="false">IF(AND(ISNUMBER(G295),G295&gt;0),G295/IF(ISNUMBER(ダッシュボード!D12),ダッシュボード!D12,1),"")</f>
        <v/>
      </c>
      <c r="O295" s="26" t="str">
        <f aca="false">IF(ISNUMBER(G295),G295*1+IF(ISNUMBER(H295),H295,0)*5+IF(ISNUMBER(J295),J295,0)*10+IF(ISNUMBER(K295),K295,0)*3,"")</f>
        <v/>
      </c>
      <c r="P295" s="22"/>
    </row>
    <row r="296" customFormat="false" ht="15" hidden="false" customHeight="true" outlineLevel="0" collapsed="false">
      <c r="A296" s="22" t="s">
        <v>125</v>
      </c>
      <c r="B296" s="23" t="s">
        <v>67</v>
      </c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4" t="str">
        <f aca="false">IF(AND(ISNUMBER(H296),ISNUMBER(G296),G296&gt;0),H296/G296,"")</f>
        <v/>
      </c>
      <c r="N296" s="25" t="str">
        <f aca="false">IF(AND(ISNUMBER(G296),G296&gt;0),G296/IF(ISNUMBER(ダッシュボード!D12),ダッシュボード!D12,1),"")</f>
        <v/>
      </c>
      <c r="O296" s="26" t="str">
        <f aca="false">IF(ISNUMBER(G296),G296*1+IF(ISNUMBER(H296),H296,0)*5+IF(ISNUMBER(J296),J296,0)*10+IF(ISNUMBER(K296),K296,0)*3,"")</f>
        <v/>
      </c>
      <c r="P296" s="22"/>
    </row>
    <row r="297" customFormat="false" ht="15" hidden="false" customHeight="true" outlineLevel="0" collapsed="false">
      <c r="A297" s="27" t="s">
        <v>126</v>
      </c>
      <c r="B297" s="28" t="s">
        <v>63</v>
      </c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9" t="str">
        <f aca="false">IF(AND(ISNUMBER(H297),ISNUMBER(G297),G297&gt;0),H297/G297,"")</f>
        <v/>
      </c>
      <c r="N297" s="30" t="str">
        <f aca="false">IF(AND(ISNUMBER(G297),G297&gt;0),G297/IF(ISNUMBER(ダッシュボード!D12),ダッシュボード!D12,1),"")</f>
        <v/>
      </c>
      <c r="O297" s="31" t="str">
        <f aca="false">IF(ISNUMBER(G297),G297*1+IF(ISNUMBER(H297),H297,0)*5+IF(ISNUMBER(J297),J297,0)*10+IF(ISNUMBER(K297),K297,0)*3,"")</f>
        <v/>
      </c>
      <c r="P297" s="27"/>
    </row>
    <row r="298" customFormat="false" ht="15" hidden="false" customHeight="true" outlineLevel="0" collapsed="false">
      <c r="A298" s="27" t="s">
        <v>126</v>
      </c>
      <c r="B298" s="28" t="s">
        <v>64</v>
      </c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9" t="str">
        <f aca="false">IF(AND(ISNUMBER(H298),ISNUMBER(G298),G298&gt;0),H298/G298,"")</f>
        <v/>
      </c>
      <c r="N298" s="30" t="str">
        <f aca="false">IF(AND(ISNUMBER(G298),G298&gt;0),G298/IF(ISNUMBER(ダッシュボード!D12),ダッシュボード!D12,1),"")</f>
        <v/>
      </c>
      <c r="O298" s="31" t="str">
        <f aca="false">IF(ISNUMBER(G298),G298*1+IF(ISNUMBER(H298),H298,0)*5+IF(ISNUMBER(J298),J298,0)*10+IF(ISNUMBER(K298),K298,0)*3,"")</f>
        <v/>
      </c>
      <c r="P298" s="27"/>
    </row>
    <row r="299" customFormat="false" ht="15" hidden="false" customHeight="true" outlineLevel="0" collapsed="false">
      <c r="A299" s="27" t="s">
        <v>126</v>
      </c>
      <c r="B299" s="28" t="s">
        <v>65</v>
      </c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9" t="str">
        <f aca="false">IF(AND(ISNUMBER(H299),ISNUMBER(G299),G299&gt;0),H299/G299,"")</f>
        <v/>
      </c>
      <c r="N299" s="30" t="str">
        <f aca="false">IF(AND(ISNUMBER(G299),G299&gt;0),G299/IF(ISNUMBER(ダッシュボード!D12),ダッシュボード!D12,1),"")</f>
        <v/>
      </c>
      <c r="O299" s="31" t="str">
        <f aca="false">IF(ISNUMBER(G299),G299*1+IF(ISNUMBER(H299),H299,0)*5+IF(ISNUMBER(J299),J299,0)*10+IF(ISNUMBER(K299),K299,0)*3,"")</f>
        <v/>
      </c>
      <c r="P299" s="27"/>
    </row>
    <row r="300" customFormat="false" ht="15" hidden="false" customHeight="true" outlineLevel="0" collapsed="false">
      <c r="A300" s="27" t="s">
        <v>126</v>
      </c>
      <c r="B300" s="28" t="s">
        <v>66</v>
      </c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9" t="str">
        <f aca="false">IF(AND(ISNUMBER(H300),ISNUMBER(G300),G300&gt;0),H300/G300,"")</f>
        <v/>
      </c>
      <c r="N300" s="30" t="str">
        <f aca="false">IF(AND(ISNUMBER(G300),G300&gt;0),G300/IF(ISNUMBER(ダッシュボード!D12),ダッシュボード!D12,1),"")</f>
        <v/>
      </c>
      <c r="O300" s="31" t="str">
        <f aca="false">IF(ISNUMBER(G300),G300*1+IF(ISNUMBER(H300),H300,0)*5+IF(ISNUMBER(J300),J300,0)*10+IF(ISNUMBER(K300),K300,0)*3,"")</f>
        <v/>
      </c>
      <c r="P300" s="27"/>
    </row>
    <row r="301" customFormat="false" ht="15" hidden="false" customHeight="true" outlineLevel="0" collapsed="false">
      <c r="A301" s="27" t="s">
        <v>126</v>
      </c>
      <c r="B301" s="28" t="s">
        <v>67</v>
      </c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9" t="str">
        <f aca="false">IF(AND(ISNUMBER(H301),ISNUMBER(G301),G301&gt;0),H301/G301,"")</f>
        <v/>
      </c>
      <c r="N301" s="30" t="str">
        <f aca="false">IF(AND(ISNUMBER(G301),G301&gt;0),G301/IF(ISNUMBER(ダッシュボード!D12),ダッシュボード!D12,1),"")</f>
        <v/>
      </c>
      <c r="O301" s="31" t="str">
        <f aca="false">IF(ISNUMBER(G301),G301*1+IF(ISNUMBER(H301),H301,0)*5+IF(ISNUMBER(J301),J301,0)*10+IF(ISNUMBER(K301),K301,0)*3,"")</f>
        <v/>
      </c>
      <c r="P301" s="27"/>
    </row>
    <row r="302" customFormat="false" ht="15" hidden="false" customHeight="true" outlineLevel="0" collapsed="false">
      <c r="A302" s="22" t="s">
        <v>127</v>
      </c>
      <c r="B302" s="23" t="s">
        <v>63</v>
      </c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4" t="str">
        <f aca="false">IF(AND(ISNUMBER(H302),ISNUMBER(G302),G302&gt;0),H302/G302,"")</f>
        <v/>
      </c>
      <c r="N302" s="25" t="str">
        <f aca="false">IF(AND(ISNUMBER(G302),G302&gt;0),G302/IF(ISNUMBER(ダッシュボード!D12),ダッシュボード!D12,1),"")</f>
        <v/>
      </c>
      <c r="O302" s="26" t="str">
        <f aca="false">IF(ISNUMBER(G302),G302*1+IF(ISNUMBER(H302),H302,0)*5+IF(ISNUMBER(J302),J302,0)*10+IF(ISNUMBER(K302),K302,0)*3,"")</f>
        <v/>
      </c>
      <c r="P302" s="22"/>
    </row>
    <row r="303" customFormat="false" ht="15" hidden="false" customHeight="true" outlineLevel="0" collapsed="false">
      <c r="A303" s="22" t="s">
        <v>127</v>
      </c>
      <c r="B303" s="23" t="s">
        <v>64</v>
      </c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4" t="str">
        <f aca="false">IF(AND(ISNUMBER(H303),ISNUMBER(G303),G303&gt;0),H303/G303,"")</f>
        <v/>
      </c>
      <c r="N303" s="25" t="str">
        <f aca="false">IF(AND(ISNUMBER(G303),G303&gt;0),G303/IF(ISNUMBER(ダッシュボード!D12),ダッシュボード!D12,1),"")</f>
        <v/>
      </c>
      <c r="O303" s="26" t="str">
        <f aca="false">IF(ISNUMBER(G303),G303*1+IF(ISNUMBER(H303),H303,0)*5+IF(ISNUMBER(J303),J303,0)*10+IF(ISNUMBER(K303),K303,0)*3,"")</f>
        <v/>
      </c>
      <c r="P303" s="22"/>
    </row>
    <row r="304" customFormat="false" ht="15" hidden="false" customHeight="true" outlineLevel="0" collapsed="false">
      <c r="A304" s="22" t="s">
        <v>127</v>
      </c>
      <c r="B304" s="23" t="s">
        <v>65</v>
      </c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4" t="str">
        <f aca="false">IF(AND(ISNUMBER(H304),ISNUMBER(G304),G304&gt;0),H304/G304,"")</f>
        <v/>
      </c>
      <c r="N304" s="25" t="str">
        <f aca="false">IF(AND(ISNUMBER(G304),G304&gt;0),G304/IF(ISNUMBER(ダッシュボード!D12),ダッシュボード!D12,1),"")</f>
        <v/>
      </c>
      <c r="O304" s="26" t="str">
        <f aca="false">IF(ISNUMBER(G304),G304*1+IF(ISNUMBER(H304),H304,0)*5+IF(ISNUMBER(J304),J304,0)*10+IF(ISNUMBER(K304),K304,0)*3,"")</f>
        <v/>
      </c>
      <c r="P304" s="22"/>
    </row>
    <row r="305" customFormat="false" ht="15" hidden="false" customHeight="true" outlineLevel="0" collapsed="false">
      <c r="A305" s="22" t="s">
        <v>127</v>
      </c>
      <c r="B305" s="23" t="s">
        <v>66</v>
      </c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4" t="str">
        <f aca="false">IF(AND(ISNUMBER(H305),ISNUMBER(G305),G305&gt;0),H305/G305,"")</f>
        <v/>
      </c>
      <c r="N305" s="25" t="str">
        <f aca="false">IF(AND(ISNUMBER(G305),G305&gt;0),G305/IF(ISNUMBER(ダッシュボード!D12),ダッシュボード!D12,1),"")</f>
        <v/>
      </c>
      <c r="O305" s="26" t="str">
        <f aca="false">IF(ISNUMBER(G305),G305*1+IF(ISNUMBER(H305),H305,0)*5+IF(ISNUMBER(J305),J305,0)*10+IF(ISNUMBER(K305),K305,0)*3,"")</f>
        <v/>
      </c>
      <c r="P305" s="22"/>
    </row>
    <row r="306" customFormat="false" ht="15" hidden="false" customHeight="true" outlineLevel="0" collapsed="false">
      <c r="A306" s="22" t="s">
        <v>127</v>
      </c>
      <c r="B306" s="23" t="s">
        <v>67</v>
      </c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4" t="str">
        <f aca="false">IF(AND(ISNUMBER(H306),ISNUMBER(G306),G306&gt;0),H306/G306,"")</f>
        <v/>
      </c>
      <c r="N306" s="25" t="str">
        <f aca="false">IF(AND(ISNUMBER(G306),G306&gt;0),G306/IF(ISNUMBER(ダッシュボード!D12),ダッシュボード!D12,1),"")</f>
        <v/>
      </c>
      <c r="O306" s="26" t="str">
        <f aca="false">IF(ISNUMBER(G306),G306*1+IF(ISNUMBER(H306),H306,0)*5+IF(ISNUMBER(J306),J306,0)*10+IF(ISNUMBER(K306),K306,0)*3,"")</f>
        <v/>
      </c>
      <c r="P306" s="22"/>
    </row>
    <row r="307" customFormat="false" ht="15" hidden="false" customHeight="true" outlineLevel="0" collapsed="false">
      <c r="A307" s="27" t="s">
        <v>128</v>
      </c>
      <c r="B307" s="28" t="s">
        <v>63</v>
      </c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9" t="str">
        <f aca="false">IF(AND(ISNUMBER(H307),ISNUMBER(G307),G307&gt;0),H307/G307,"")</f>
        <v/>
      </c>
      <c r="N307" s="30" t="str">
        <f aca="false">IF(AND(ISNUMBER(G307),G307&gt;0),G307/IF(ISNUMBER(ダッシュボード!D12),ダッシュボード!D12,1),"")</f>
        <v/>
      </c>
      <c r="O307" s="31" t="str">
        <f aca="false">IF(ISNUMBER(G307),G307*1+IF(ISNUMBER(H307),H307,0)*5+IF(ISNUMBER(J307),J307,0)*10+IF(ISNUMBER(K307),K307,0)*3,"")</f>
        <v/>
      </c>
      <c r="P307" s="27"/>
    </row>
    <row r="308" customFormat="false" ht="15" hidden="false" customHeight="true" outlineLevel="0" collapsed="false">
      <c r="A308" s="27" t="s">
        <v>128</v>
      </c>
      <c r="B308" s="28" t="s">
        <v>64</v>
      </c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9" t="str">
        <f aca="false">IF(AND(ISNUMBER(H308),ISNUMBER(G308),G308&gt;0),H308/G308,"")</f>
        <v/>
      </c>
      <c r="N308" s="30" t="str">
        <f aca="false">IF(AND(ISNUMBER(G308),G308&gt;0),G308/IF(ISNUMBER(ダッシュボード!D12),ダッシュボード!D12,1),"")</f>
        <v/>
      </c>
      <c r="O308" s="31" t="str">
        <f aca="false">IF(ISNUMBER(G308),G308*1+IF(ISNUMBER(H308),H308,0)*5+IF(ISNUMBER(J308),J308,0)*10+IF(ISNUMBER(K308),K308,0)*3,"")</f>
        <v/>
      </c>
      <c r="P308" s="27"/>
    </row>
    <row r="309" customFormat="false" ht="15" hidden="false" customHeight="true" outlineLevel="0" collapsed="false">
      <c r="A309" s="27" t="s">
        <v>128</v>
      </c>
      <c r="B309" s="28" t="s">
        <v>65</v>
      </c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9" t="str">
        <f aca="false">IF(AND(ISNUMBER(H309),ISNUMBER(G309),G309&gt;0),H309/G309,"")</f>
        <v/>
      </c>
      <c r="N309" s="30" t="str">
        <f aca="false">IF(AND(ISNUMBER(G309),G309&gt;0),G309/IF(ISNUMBER(ダッシュボード!D12),ダッシュボード!D12,1),"")</f>
        <v/>
      </c>
      <c r="O309" s="31" t="str">
        <f aca="false">IF(ISNUMBER(G309),G309*1+IF(ISNUMBER(H309),H309,0)*5+IF(ISNUMBER(J309),J309,0)*10+IF(ISNUMBER(K309),K309,0)*3,"")</f>
        <v/>
      </c>
      <c r="P309" s="27"/>
    </row>
    <row r="310" customFormat="false" ht="15" hidden="false" customHeight="true" outlineLevel="0" collapsed="false">
      <c r="A310" s="27" t="s">
        <v>128</v>
      </c>
      <c r="B310" s="28" t="s">
        <v>66</v>
      </c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9" t="str">
        <f aca="false">IF(AND(ISNUMBER(H310),ISNUMBER(G310),G310&gt;0),H310/G310,"")</f>
        <v/>
      </c>
      <c r="N310" s="30" t="str">
        <f aca="false">IF(AND(ISNUMBER(G310),G310&gt;0),G310/IF(ISNUMBER(ダッシュボード!D12),ダッシュボード!D12,1),"")</f>
        <v/>
      </c>
      <c r="O310" s="31" t="str">
        <f aca="false">IF(ISNUMBER(G310),G310*1+IF(ISNUMBER(H310),H310,0)*5+IF(ISNUMBER(J310),J310,0)*10+IF(ISNUMBER(K310),K310,0)*3,"")</f>
        <v/>
      </c>
      <c r="P310" s="27"/>
    </row>
    <row r="311" customFormat="false" ht="15" hidden="false" customHeight="true" outlineLevel="0" collapsed="false">
      <c r="A311" s="27" t="s">
        <v>128</v>
      </c>
      <c r="B311" s="28" t="s">
        <v>67</v>
      </c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9" t="str">
        <f aca="false">IF(AND(ISNUMBER(H311),ISNUMBER(G311),G311&gt;0),H311/G311,"")</f>
        <v/>
      </c>
      <c r="N311" s="30" t="str">
        <f aca="false">IF(AND(ISNUMBER(G311),G311&gt;0),G311/IF(ISNUMBER(ダッシュボード!D12),ダッシュボード!D12,1),"")</f>
        <v/>
      </c>
      <c r="O311" s="31" t="str">
        <f aca="false">IF(ISNUMBER(G311),G311*1+IF(ISNUMBER(H311),H311,0)*5+IF(ISNUMBER(J311),J311,0)*10+IF(ISNUMBER(K311),K311,0)*3,"")</f>
        <v/>
      </c>
      <c r="P311" s="27"/>
    </row>
    <row r="312" customFormat="false" ht="15" hidden="false" customHeight="true" outlineLevel="0" collapsed="false">
      <c r="A312" s="22" t="s">
        <v>129</v>
      </c>
      <c r="B312" s="23" t="s">
        <v>63</v>
      </c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4" t="str">
        <f aca="false">IF(AND(ISNUMBER(H312),ISNUMBER(G312),G312&gt;0),H312/G312,"")</f>
        <v/>
      </c>
      <c r="N312" s="25" t="str">
        <f aca="false">IF(AND(ISNUMBER(G312),G312&gt;0),G312/IF(ISNUMBER(ダッシュボード!D12),ダッシュボード!D12,1),"")</f>
        <v/>
      </c>
      <c r="O312" s="26" t="str">
        <f aca="false">IF(ISNUMBER(G312),G312*1+IF(ISNUMBER(H312),H312,0)*5+IF(ISNUMBER(J312),J312,0)*10+IF(ISNUMBER(K312),K312,0)*3,"")</f>
        <v/>
      </c>
      <c r="P312" s="22"/>
    </row>
    <row r="313" customFormat="false" ht="15" hidden="false" customHeight="true" outlineLevel="0" collapsed="false">
      <c r="A313" s="22" t="s">
        <v>129</v>
      </c>
      <c r="B313" s="23" t="s">
        <v>64</v>
      </c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4" t="str">
        <f aca="false">IF(AND(ISNUMBER(H313),ISNUMBER(G313),G313&gt;0),H313/G313,"")</f>
        <v/>
      </c>
      <c r="N313" s="25" t="str">
        <f aca="false">IF(AND(ISNUMBER(G313),G313&gt;0),G313/IF(ISNUMBER(ダッシュボード!D12),ダッシュボード!D12,1),"")</f>
        <v/>
      </c>
      <c r="O313" s="26" t="str">
        <f aca="false">IF(ISNUMBER(G313),G313*1+IF(ISNUMBER(H313),H313,0)*5+IF(ISNUMBER(J313),J313,0)*10+IF(ISNUMBER(K313),K313,0)*3,"")</f>
        <v/>
      </c>
      <c r="P313" s="22"/>
    </row>
    <row r="314" customFormat="false" ht="15" hidden="false" customHeight="true" outlineLevel="0" collapsed="false">
      <c r="A314" s="22" t="s">
        <v>129</v>
      </c>
      <c r="B314" s="23" t="s">
        <v>65</v>
      </c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4" t="str">
        <f aca="false">IF(AND(ISNUMBER(H314),ISNUMBER(G314),G314&gt;0),H314/G314,"")</f>
        <v/>
      </c>
      <c r="N314" s="25" t="str">
        <f aca="false">IF(AND(ISNUMBER(G314),G314&gt;0),G314/IF(ISNUMBER(ダッシュボード!D12),ダッシュボード!D12,1),"")</f>
        <v/>
      </c>
      <c r="O314" s="26" t="str">
        <f aca="false">IF(ISNUMBER(G314),G314*1+IF(ISNUMBER(H314),H314,0)*5+IF(ISNUMBER(J314),J314,0)*10+IF(ISNUMBER(K314),K314,0)*3,"")</f>
        <v/>
      </c>
      <c r="P314" s="22"/>
    </row>
    <row r="315" customFormat="false" ht="15" hidden="false" customHeight="true" outlineLevel="0" collapsed="false">
      <c r="A315" s="22" t="s">
        <v>129</v>
      </c>
      <c r="B315" s="23" t="s">
        <v>66</v>
      </c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4" t="str">
        <f aca="false">IF(AND(ISNUMBER(H315),ISNUMBER(G315),G315&gt;0),H315/G315,"")</f>
        <v/>
      </c>
      <c r="N315" s="25" t="str">
        <f aca="false">IF(AND(ISNUMBER(G315),G315&gt;0),G315/IF(ISNUMBER(ダッシュボード!D12),ダッシュボード!D12,1),"")</f>
        <v/>
      </c>
      <c r="O315" s="26" t="str">
        <f aca="false">IF(ISNUMBER(G315),G315*1+IF(ISNUMBER(H315),H315,0)*5+IF(ISNUMBER(J315),J315,0)*10+IF(ISNUMBER(K315),K315,0)*3,"")</f>
        <v/>
      </c>
      <c r="P315" s="22"/>
    </row>
    <row r="316" customFormat="false" ht="15" hidden="false" customHeight="true" outlineLevel="0" collapsed="false">
      <c r="A316" s="22" t="s">
        <v>129</v>
      </c>
      <c r="B316" s="23" t="s">
        <v>67</v>
      </c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4" t="str">
        <f aca="false">IF(AND(ISNUMBER(H316),ISNUMBER(G316),G316&gt;0),H316/G316,"")</f>
        <v/>
      </c>
      <c r="N316" s="25" t="str">
        <f aca="false">IF(AND(ISNUMBER(G316),G316&gt;0),G316/IF(ISNUMBER(ダッシュボード!D12),ダッシュボード!D12,1),"")</f>
        <v/>
      </c>
      <c r="O316" s="26" t="str">
        <f aca="false">IF(ISNUMBER(G316),G316*1+IF(ISNUMBER(H316),H316,0)*5+IF(ISNUMBER(J316),J316,0)*10+IF(ISNUMBER(K316),K316,0)*3,"")</f>
        <v/>
      </c>
      <c r="P316" s="22"/>
    </row>
    <row r="317" customFormat="false" ht="15" hidden="false" customHeight="true" outlineLevel="0" collapsed="false">
      <c r="A317" s="27" t="s">
        <v>130</v>
      </c>
      <c r="B317" s="28" t="s">
        <v>63</v>
      </c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9" t="str">
        <f aca="false">IF(AND(ISNUMBER(H317),ISNUMBER(G317),G317&gt;0),H317/G317,"")</f>
        <v/>
      </c>
      <c r="N317" s="30" t="str">
        <f aca="false">IF(AND(ISNUMBER(G317),G317&gt;0),G317/IF(ISNUMBER(ダッシュボード!D12),ダッシュボード!D12,1),"")</f>
        <v/>
      </c>
      <c r="O317" s="31" t="str">
        <f aca="false">IF(ISNUMBER(G317),G317*1+IF(ISNUMBER(H317),H317,0)*5+IF(ISNUMBER(J317),J317,0)*10+IF(ISNUMBER(K317),K317,0)*3,"")</f>
        <v/>
      </c>
      <c r="P317" s="27"/>
    </row>
    <row r="318" customFormat="false" ht="15" hidden="false" customHeight="true" outlineLevel="0" collapsed="false">
      <c r="A318" s="27" t="s">
        <v>130</v>
      </c>
      <c r="B318" s="28" t="s">
        <v>64</v>
      </c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9" t="str">
        <f aca="false">IF(AND(ISNUMBER(H318),ISNUMBER(G318),G318&gt;0),H318/G318,"")</f>
        <v/>
      </c>
      <c r="N318" s="30" t="str">
        <f aca="false">IF(AND(ISNUMBER(G318),G318&gt;0),G318/IF(ISNUMBER(ダッシュボード!D12),ダッシュボード!D12,1),"")</f>
        <v/>
      </c>
      <c r="O318" s="31" t="str">
        <f aca="false">IF(ISNUMBER(G318),G318*1+IF(ISNUMBER(H318),H318,0)*5+IF(ISNUMBER(J318),J318,0)*10+IF(ISNUMBER(K318),K318,0)*3,"")</f>
        <v/>
      </c>
      <c r="P318" s="27"/>
    </row>
    <row r="319" customFormat="false" ht="15" hidden="false" customHeight="true" outlineLevel="0" collapsed="false">
      <c r="A319" s="27" t="s">
        <v>130</v>
      </c>
      <c r="B319" s="28" t="s">
        <v>65</v>
      </c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9" t="str">
        <f aca="false">IF(AND(ISNUMBER(H319),ISNUMBER(G319),G319&gt;0),H319/G319,"")</f>
        <v/>
      </c>
      <c r="N319" s="30" t="str">
        <f aca="false">IF(AND(ISNUMBER(G319),G319&gt;0),G319/IF(ISNUMBER(ダッシュボード!D12),ダッシュボード!D12,1),"")</f>
        <v/>
      </c>
      <c r="O319" s="31" t="str">
        <f aca="false">IF(ISNUMBER(G319),G319*1+IF(ISNUMBER(H319),H319,0)*5+IF(ISNUMBER(J319),J319,0)*10+IF(ISNUMBER(K319),K319,0)*3,"")</f>
        <v/>
      </c>
      <c r="P319" s="27"/>
    </row>
    <row r="320" customFormat="false" ht="15" hidden="false" customHeight="true" outlineLevel="0" collapsed="false">
      <c r="A320" s="27" t="s">
        <v>130</v>
      </c>
      <c r="B320" s="28" t="s">
        <v>66</v>
      </c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9" t="str">
        <f aca="false">IF(AND(ISNUMBER(H320),ISNUMBER(G320),G320&gt;0),H320/G320,"")</f>
        <v/>
      </c>
      <c r="N320" s="30" t="str">
        <f aca="false">IF(AND(ISNUMBER(G320),G320&gt;0),G320/IF(ISNUMBER(ダッシュボード!D12),ダッシュボード!D12,1),"")</f>
        <v/>
      </c>
      <c r="O320" s="31" t="str">
        <f aca="false">IF(ISNUMBER(G320),G320*1+IF(ISNUMBER(H320),H320,0)*5+IF(ISNUMBER(J320),J320,0)*10+IF(ISNUMBER(K320),K320,0)*3,"")</f>
        <v/>
      </c>
      <c r="P320" s="27"/>
    </row>
    <row r="321" customFormat="false" ht="15" hidden="false" customHeight="true" outlineLevel="0" collapsed="false">
      <c r="A321" s="27" t="s">
        <v>130</v>
      </c>
      <c r="B321" s="28" t="s">
        <v>67</v>
      </c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9" t="str">
        <f aca="false">IF(AND(ISNUMBER(H321),ISNUMBER(G321),G321&gt;0),H321/G321,"")</f>
        <v/>
      </c>
      <c r="N321" s="30" t="str">
        <f aca="false">IF(AND(ISNUMBER(G321),G321&gt;0),G321/IF(ISNUMBER(ダッシュボード!D12),ダッシュボード!D12,1),"")</f>
        <v/>
      </c>
      <c r="O321" s="31" t="str">
        <f aca="false">IF(ISNUMBER(G321),G321*1+IF(ISNUMBER(H321),H321,0)*5+IF(ISNUMBER(J321),J321,0)*10+IF(ISNUMBER(K321),K321,0)*3,"")</f>
        <v/>
      </c>
      <c r="P321" s="27"/>
    </row>
    <row r="322" customFormat="false" ht="15" hidden="false" customHeight="true" outlineLevel="0" collapsed="false">
      <c r="A322" s="22" t="s">
        <v>131</v>
      </c>
      <c r="B322" s="23" t="s">
        <v>63</v>
      </c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4" t="str">
        <f aca="false">IF(AND(ISNUMBER(H322),ISNUMBER(G322),G322&gt;0),H322/G322,"")</f>
        <v/>
      </c>
      <c r="N322" s="25" t="str">
        <f aca="false">IF(AND(ISNUMBER(G322),G322&gt;0),G322/IF(ISNUMBER(ダッシュボード!D12),ダッシュボード!D12,1),"")</f>
        <v/>
      </c>
      <c r="O322" s="26" t="str">
        <f aca="false">IF(ISNUMBER(G322),G322*1+IF(ISNUMBER(H322),H322,0)*5+IF(ISNUMBER(J322),J322,0)*10+IF(ISNUMBER(K322),K322,0)*3,"")</f>
        <v/>
      </c>
      <c r="P322" s="22"/>
    </row>
    <row r="323" customFormat="false" ht="15" hidden="false" customHeight="true" outlineLevel="0" collapsed="false">
      <c r="A323" s="22" t="s">
        <v>131</v>
      </c>
      <c r="B323" s="23" t="s">
        <v>64</v>
      </c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4" t="str">
        <f aca="false">IF(AND(ISNUMBER(H323),ISNUMBER(G323),G323&gt;0),H323/G323,"")</f>
        <v/>
      </c>
      <c r="N323" s="25" t="str">
        <f aca="false">IF(AND(ISNUMBER(G323),G323&gt;0),G323/IF(ISNUMBER(ダッシュボード!D12),ダッシュボード!D12,1),"")</f>
        <v/>
      </c>
      <c r="O323" s="26" t="str">
        <f aca="false">IF(ISNUMBER(G323),G323*1+IF(ISNUMBER(H323),H323,0)*5+IF(ISNUMBER(J323),J323,0)*10+IF(ISNUMBER(K323),K323,0)*3,"")</f>
        <v/>
      </c>
      <c r="P323" s="22"/>
    </row>
    <row r="324" customFormat="false" ht="15" hidden="false" customHeight="true" outlineLevel="0" collapsed="false">
      <c r="A324" s="22" t="s">
        <v>131</v>
      </c>
      <c r="B324" s="23" t="s">
        <v>65</v>
      </c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4" t="str">
        <f aca="false">IF(AND(ISNUMBER(H324),ISNUMBER(G324),G324&gt;0),H324/G324,"")</f>
        <v/>
      </c>
      <c r="N324" s="25" t="str">
        <f aca="false">IF(AND(ISNUMBER(G324),G324&gt;0),G324/IF(ISNUMBER(ダッシュボード!D12),ダッシュボード!D12,1),"")</f>
        <v/>
      </c>
      <c r="O324" s="26" t="str">
        <f aca="false">IF(ISNUMBER(G324),G324*1+IF(ISNUMBER(H324),H324,0)*5+IF(ISNUMBER(J324),J324,0)*10+IF(ISNUMBER(K324),K324,0)*3,"")</f>
        <v/>
      </c>
      <c r="P324" s="22"/>
    </row>
    <row r="325" customFormat="false" ht="15" hidden="false" customHeight="true" outlineLevel="0" collapsed="false">
      <c r="A325" s="22" t="s">
        <v>131</v>
      </c>
      <c r="B325" s="23" t="s">
        <v>66</v>
      </c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4" t="str">
        <f aca="false">IF(AND(ISNUMBER(H325),ISNUMBER(G325),G325&gt;0),H325/G325,"")</f>
        <v/>
      </c>
      <c r="N325" s="25" t="str">
        <f aca="false">IF(AND(ISNUMBER(G325),G325&gt;0),G325/IF(ISNUMBER(ダッシュボード!D12),ダッシュボード!D12,1),"")</f>
        <v/>
      </c>
      <c r="O325" s="26" t="str">
        <f aca="false">IF(ISNUMBER(G325),G325*1+IF(ISNUMBER(H325),H325,0)*5+IF(ISNUMBER(J325),J325,0)*10+IF(ISNUMBER(K325),K325,0)*3,"")</f>
        <v/>
      </c>
      <c r="P325" s="22"/>
    </row>
    <row r="326" customFormat="false" ht="15" hidden="false" customHeight="true" outlineLevel="0" collapsed="false">
      <c r="A326" s="22" t="s">
        <v>131</v>
      </c>
      <c r="B326" s="23" t="s">
        <v>67</v>
      </c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4" t="str">
        <f aca="false">IF(AND(ISNUMBER(H326),ISNUMBER(G326),G326&gt;0),H326/G326,"")</f>
        <v/>
      </c>
      <c r="N326" s="25" t="str">
        <f aca="false">IF(AND(ISNUMBER(G326),G326&gt;0),G326/IF(ISNUMBER(ダッシュボード!D12),ダッシュボード!D12,1),"")</f>
        <v/>
      </c>
      <c r="O326" s="26" t="str">
        <f aca="false">IF(ISNUMBER(G326),G326*1+IF(ISNUMBER(H326),H326,0)*5+IF(ISNUMBER(J326),J326,0)*10+IF(ISNUMBER(K326),K326,0)*3,"")</f>
        <v/>
      </c>
      <c r="P326" s="22"/>
    </row>
    <row r="327" customFormat="false" ht="15" hidden="false" customHeight="true" outlineLevel="0" collapsed="false">
      <c r="A327" s="27" t="s">
        <v>132</v>
      </c>
      <c r="B327" s="28" t="s">
        <v>63</v>
      </c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9" t="str">
        <f aca="false">IF(AND(ISNUMBER(H327),ISNUMBER(G327),G327&gt;0),H327/G327,"")</f>
        <v/>
      </c>
      <c r="N327" s="30" t="str">
        <f aca="false">IF(AND(ISNUMBER(G327),G327&gt;0),G327/IF(ISNUMBER(ダッシュボード!D12),ダッシュボード!D12,1),"")</f>
        <v/>
      </c>
      <c r="O327" s="31" t="str">
        <f aca="false">IF(ISNUMBER(G327),G327*1+IF(ISNUMBER(H327),H327,0)*5+IF(ISNUMBER(J327),J327,0)*10+IF(ISNUMBER(K327),K327,0)*3,"")</f>
        <v/>
      </c>
      <c r="P327" s="27"/>
    </row>
    <row r="328" customFormat="false" ht="15" hidden="false" customHeight="true" outlineLevel="0" collapsed="false">
      <c r="A328" s="27" t="s">
        <v>132</v>
      </c>
      <c r="B328" s="28" t="s">
        <v>64</v>
      </c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9" t="str">
        <f aca="false">IF(AND(ISNUMBER(H328),ISNUMBER(G328),G328&gt;0),H328/G328,"")</f>
        <v/>
      </c>
      <c r="N328" s="30" t="str">
        <f aca="false">IF(AND(ISNUMBER(G328),G328&gt;0),G328/IF(ISNUMBER(ダッシュボード!D12),ダッシュボード!D12,1),"")</f>
        <v/>
      </c>
      <c r="O328" s="31" t="str">
        <f aca="false">IF(ISNUMBER(G328),G328*1+IF(ISNUMBER(H328),H328,0)*5+IF(ISNUMBER(J328),J328,0)*10+IF(ISNUMBER(K328),K328,0)*3,"")</f>
        <v/>
      </c>
      <c r="P328" s="27"/>
    </row>
    <row r="329" customFormat="false" ht="15" hidden="false" customHeight="true" outlineLevel="0" collapsed="false">
      <c r="A329" s="27" t="s">
        <v>132</v>
      </c>
      <c r="B329" s="28" t="s">
        <v>65</v>
      </c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9" t="str">
        <f aca="false">IF(AND(ISNUMBER(H329),ISNUMBER(G329),G329&gt;0),H329/G329,"")</f>
        <v/>
      </c>
      <c r="N329" s="30" t="str">
        <f aca="false">IF(AND(ISNUMBER(G329),G329&gt;0),G329/IF(ISNUMBER(ダッシュボード!D12),ダッシュボード!D12,1),"")</f>
        <v/>
      </c>
      <c r="O329" s="31" t="str">
        <f aca="false">IF(ISNUMBER(G329),G329*1+IF(ISNUMBER(H329),H329,0)*5+IF(ISNUMBER(J329),J329,0)*10+IF(ISNUMBER(K329),K329,0)*3,"")</f>
        <v/>
      </c>
      <c r="P329" s="27"/>
    </row>
    <row r="330" customFormat="false" ht="15" hidden="false" customHeight="true" outlineLevel="0" collapsed="false">
      <c r="A330" s="27" t="s">
        <v>132</v>
      </c>
      <c r="B330" s="28" t="s">
        <v>66</v>
      </c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9" t="str">
        <f aca="false">IF(AND(ISNUMBER(H330),ISNUMBER(G330),G330&gt;0),H330/G330,"")</f>
        <v/>
      </c>
      <c r="N330" s="30" t="str">
        <f aca="false">IF(AND(ISNUMBER(G330),G330&gt;0),G330/IF(ISNUMBER(ダッシュボード!D12),ダッシュボード!D12,1),"")</f>
        <v/>
      </c>
      <c r="O330" s="31" t="str">
        <f aca="false">IF(ISNUMBER(G330),G330*1+IF(ISNUMBER(H330),H330,0)*5+IF(ISNUMBER(J330),J330,0)*10+IF(ISNUMBER(K330),K330,0)*3,"")</f>
        <v/>
      </c>
      <c r="P330" s="27"/>
    </row>
    <row r="331" customFormat="false" ht="15" hidden="false" customHeight="true" outlineLevel="0" collapsed="false">
      <c r="A331" s="27" t="s">
        <v>132</v>
      </c>
      <c r="B331" s="28" t="s">
        <v>67</v>
      </c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9" t="str">
        <f aca="false">IF(AND(ISNUMBER(H331),ISNUMBER(G331),G331&gt;0),H331/G331,"")</f>
        <v/>
      </c>
      <c r="N331" s="30" t="str">
        <f aca="false">IF(AND(ISNUMBER(G331),G331&gt;0),G331/IF(ISNUMBER(ダッシュボード!D12),ダッシュボード!D12,1),"")</f>
        <v/>
      </c>
      <c r="O331" s="31" t="str">
        <f aca="false">IF(ISNUMBER(G331),G331*1+IF(ISNUMBER(H331),H331,0)*5+IF(ISNUMBER(J331),J331,0)*10+IF(ISNUMBER(K331),K331,0)*3,"")</f>
        <v/>
      </c>
      <c r="P331" s="27"/>
    </row>
    <row r="332" customFormat="false" ht="15" hidden="false" customHeight="true" outlineLevel="0" collapsed="false">
      <c r="A332" s="22" t="s">
        <v>133</v>
      </c>
      <c r="B332" s="23" t="s">
        <v>63</v>
      </c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4" t="str">
        <f aca="false">IF(AND(ISNUMBER(H332),ISNUMBER(G332),G332&gt;0),H332/G332,"")</f>
        <v/>
      </c>
      <c r="N332" s="25" t="str">
        <f aca="false">IF(AND(ISNUMBER(G332),G332&gt;0),G332/IF(ISNUMBER(ダッシュボード!D12),ダッシュボード!D12,1),"")</f>
        <v/>
      </c>
      <c r="O332" s="26" t="str">
        <f aca="false">IF(ISNUMBER(G332),G332*1+IF(ISNUMBER(H332),H332,0)*5+IF(ISNUMBER(J332),J332,0)*10+IF(ISNUMBER(K332),K332,0)*3,"")</f>
        <v/>
      </c>
      <c r="P332" s="22"/>
    </row>
    <row r="333" customFormat="false" ht="15" hidden="false" customHeight="true" outlineLevel="0" collapsed="false">
      <c r="A333" s="22" t="s">
        <v>133</v>
      </c>
      <c r="B333" s="23" t="s">
        <v>64</v>
      </c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4" t="str">
        <f aca="false">IF(AND(ISNUMBER(H333),ISNUMBER(G333),G333&gt;0),H333/G333,"")</f>
        <v/>
      </c>
      <c r="N333" s="25" t="str">
        <f aca="false">IF(AND(ISNUMBER(G333),G333&gt;0),G333/IF(ISNUMBER(ダッシュボード!D12),ダッシュボード!D12,1),"")</f>
        <v/>
      </c>
      <c r="O333" s="26" t="str">
        <f aca="false">IF(ISNUMBER(G333),G333*1+IF(ISNUMBER(H333),H333,0)*5+IF(ISNUMBER(J333),J333,0)*10+IF(ISNUMBER(K333),K333,0)*3,"")</f>
        <v/>
      </c>
      <c r="P333" s="22"/>
    </row>
    <row r="334" customFormat="false" ht="15" hidden="false" customHeight="true" outlineLevel="0" collapsed="false">
      <c r="A334" s="22" t="s">
        <v>133</v>
      </c>
      <c r="B334" s="23" t="s">
        <v>65</v>
      </c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4" t="str">
        <f aca="false">IF(AND(ISNUMBER(H334),ISNUMBER(G334),G334&gt;0),H334/G334,"")</f>
        <v/>
      </c>
      <c r="N334" s="25" t="str">
        <f aca="false">IF(AND(ISNUMBER(G334),G334&gt;0),G334/IF(ISNUMBER(ダッシュボード!D12),ダッシュボード!D12,1),"")</f>
        <v/>
      </c>
      <c r="O334" s="26" t="str">
        <f aca="false">IF(ISNUMBER(G334),G334*1+IF(ISNUMBER(H334),H334,0)*5+IF(ISNUMBER(J334),J334,0)*10+IF(ISNUMBER(K334),K334,0)*3,"")</f>
        <v/>
      </c>
      <c r="P334" s="22"/>
    </row>
    <row r="335" customFormat="false" ht="15" hidden="false" customHeight="true" outlineLevel="0" collapsed="false">
      <c r="A335" s="22" t="s">
        <v>133</v>
      </c>
      <c r="B335" s="23" t="s">
        <v>66</v>
      </c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4" t="str">
        <f aca="false">IF(AND(ISNUMBER(H335),ISNUMBER(G335),G335&gt;0),H335/G335,"")</f>
        <v/>
      </c>
      <c r="N335" s="25" t="str">
        <f aca="false">IF(AND(ISNUMBER(G335),G335&gt;0),G335/IF(ISNUMBER(ダッシュボード!D12),ダッシュボード!D12,1),"")</f>
        <v/>
      </c>
      <c r="O335" s="26" t="str">
        <f aca="false">IF(ISNUMBER(G335),G335*1+IF(ISNUMBER(H335),H335,0)*5+IF(ISNUMBER(J335),J335,0)*10+IF(ISNUMBER(K335),K335,0)*3,"")</f>
        <v/>
      </c>
      <c r="P335" s="22"/>
    </row>
    <row r="336" customFormat="false" ht="15" hidden="false" customHeight="true" outlineLevel="0" collapsed="false">
      <c r="A336" s="22" t="s">
        <v>133</v>
      </c>
      <c r="B336" s="23" t="s">
        <v>67</v>
      </c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4" t="str">
        <f aca="false">IF(AND(ISNUMBER(H336),ISNUMBER(G336),G336&gt;0),H336/G336,"")</f>
        <v/>
      </c>
      <c r="N336" s="25" t="str">
        <f aca="false">IF(AND(ISNUMBER(G336),G336&gt;0),G336/IF(ISNUMBER(ダッシュボード!D12),ダッシュボード!D12,1),"")</f>
        <v/>
      </c>
      <c r="O336" s="26" t="str">
        <f aca="false">IF(ISNUMBER(G336),G336*1+IF(ISNUMBER(H336),H336,0)*5+IF(ISNUMBER(J336),J336,0)*10+IF(ISNUMBER(K336),K336,0)*3,"")</f>
        <v/>
      </c>
      <c r="P336" s="22"/>
    </row>
    <row r="337" customFormat="false" ht="15" hidden="false" customHeight="true" outlineLevel="0" collapsed="false">
      <c r="A337" s="27" t="s">
        <v>134</v>
      </c>
      <c r="B337" s="28" t="s">
        <v>63</v>
      </c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9" t="str">
        <f aca="false">IF(AND(ISNUMBER(H337),ISNUMBER(G337),G337&gt;0),H337/G337,"")</f>
        <v/>
      </c>
      <c r="N337" s="30" t="str">
        <f aca="false">IF(AND(ISNUMBER(G337),G337&gt;0),G337/IF(ISNUMBER(ダッシュボード!D12),ダッシュボード!D12,1),"")</f>
        <v/>
      </c>
      <c r="O337" s="31" t="str">
        <f aca="false">IF(ISNUMBER(G337),G337*1+IF(ISNUMBER(H337),H337,0)*5+IF(ISNUMBER(J337),J337,0)*10+IF(ISNUMBER(K337),K337,0)*3,"")</f>
        <v/>
      </c>
      <c r="P337" s="27"/>
    </row>
    <row r="338" customFormat="false" ht="15" hidden="false" customHeight="true" outlineLevel="0" collapsed="false">
      <c r="A338" s="27" t="s">
        <v>134</v>
      </c>
      <c r="B338" s="28" t="s">
        <v>64</v>
      </c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9" t="str">
        <f aca="false">IF(AND(ISNUMBER(H338),ISNUMBER(G338),G338&gt;0),H338/G338,"")</f>
        <v/>
      </c>
      <c r="N338" s="30" t="str">
        <f aca="false">IF(AND(ISNUMBER(G338),G338&gt;0),G338/IF(ISNUMBER(ダッシュボード!D12),ダッシュボード!D12,1),"")</f>
        <v/>
      </c>
      <c r="O338" s="31" t="str">
        <f aca="false">IF(ISNUMBER(G338),G338*1+IF(ISNUMBER(H338),H338,0)*5+IF(ISNUMBER(J338),J338,0)*10+IF(ISNUMBER(K338),K338,0)*3,"")</f>
        <v/>
      </c>
      <c r="P338" s="27"/>
    </row>
    <row r="339" customFormat="false" ht="15" hidden="false" customHeight="true" outlineLevel="0" collapsed="false">
      <c r="A339" s="27" t="s">
        <v>134</v>
      </c>
      <c r="B339" s="28" t="s">
        <v>65</v>
      </c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9" t="str">
        <f aca="false">IF(AND(ISNUMBER(H339),ISNUMBER(G339),G339&gt;0),H339/G339,"")</f>
        <v/>
      </c>
      <c r="N339" s="30" t="str">
        <f aca="false">IF(AND(ISNUMBER(G339),G339&gt;0),G339/IF(ISNUMBER(ダッシュボード!D12),ダッシュボード!D12,1),"")</f>
        <v/>
      </c>
      <c r="O339" s="31" t="str">
        <f aca="false">IF(ISNUMBER(G339),G339*1+IF(ISNUMBER(H339),H339,0)*5+IF(ISNUMBER(J339),J339,0)*10+IF(ISNUMBER(K339),K339,0)*3,"")</f>
        <v/>
      </c>
      <c r="P339" s="27"/>
    </row>
    <row r="340" customFormat="false" ht="15" hidden="false" customHeight="true" outlineLevel="0" collapsed="false">
      <c r="A340" s="27" t="s">
        <v>134</v>
      </c>
      <c r="B340" s="28" t="s">
        <v>66</v>
      </c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9" t="str">
        <f aca="false">IF(AND(ISNUMBER(H340),ISNUMBER(G340),G340&gt;0),H340/G340,"")</f>
        <v/>
      </c>
      <c r="N340" s="30" t="str">
        <f aca="false">IF(AND(ISNUMBER(G340),G340&gt;0),G340/IF(ISNUMBER(ダッシュボード!D12),ダッシュボード!D12,1),"")</f>
        <v/>
      </c>
      <c r="O340" s="31" t="str">
        <f aca="false">IF(ISNUMBER(G340),G340*1+IF(ISNUMBER(H340),H340,0)*5+IF(ISNUMBER(J340),J340,0)*10+IF(ISNUMBER(K340),K340,0)*3,"")</f>
        <v/>
      </c>
      <c r="P340" s="27"/>
    </row>
    <row r="341" customFormat="false" ht="15" hidden="false" customHeight="true" outlineLevel="0" collapsed="false">
      <c r="A341" s="27" t="s">
        <v>134</v>
      </c>
      <c r="B341" s="28" t="s">
        <v>67</v>
      </c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9" t="str">
        <f aca="false">IF(AND(ISNUMBER(H341),ISNUMBER(G341),G341&gt;0),H341/G341,"")</f>
        <v/>
      </c>
      <c r="N341" s="30" t="str">
        <f aca="false">IF(AND(ISNUMBER(G341),G341&gt;0),G341/IF(ISNUMBER(ダッシュボード!D12),ダッシュボード!D12,1),"")</f>
        <v/>
      </c>
      <c r="O341" s="31" t="str">
        <f aca="false">IF(ISNUMBER(G341),G341*1+IF(ISNUMBER(H341),H341,0)*5+IF(ISNUMBER(J341),J341,0)*10+IF(ISNUMBER(K341),K341,0)*3,"")</f>
        <v/>
      </c>
      <c r="P341" s="27"/>
    </row>
    <row r="342" customFormat="false" ht="15" hidden="false" customHeight="true" outlineLevel="0" collapsed="false">
      <c r="A342" s="22" t="s">
        <v>135</v>
      </c>
      <c r="B342" s="23" t="s">
        <v>63</v>
      </c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4" t="str">
        <f aca="false">IF(AND(ISNUMBER(H342),ISNUMBER(G342),G342&gt;0),H342/G342,"")</f>
        <v/>
      </c>
      <c r="N342" s="25" t="str">
        <f aca="false">IF(AND(ISNUMBER(G342),G342&gt;0),G342/IF(ISNUMBER(ダッシュボード!D12),ダッシュボード!D12,1),"")</f>
        <v/>
      </c>
      <c r="O342" s="26" t="str">
        <f aca="false">IF(ISNUMBER(G342),G342*1+IF(ISNUMBER(H342),H342,0)*5+IF(ISNUMBER(J342),J342,0)*10+IF(ISNUMBER(K342),K342,0)*3,"")</f>
        <v/>
      </c>
      <c r="P342" s="22"/>
    </row>
    <row r="343" customFormat="false" ht="15" hidden="false" customHeight="true" outlineLevel="0" collapsed="false">
      <c r="A343" s="22" t="s">
        <v>135</v>
      </c>
      <c r="B343" s="23" t="s">
        <v>64</v>
      </c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4" t="str">
        <f aca="false">IF(AND(ISNUMBER(H343),ISNUMBER(G343),G343&gt;0),H343/G343,"")</f>
        <v/>
      </c>
      <c r="N343" s="25" t="str">
        <f aca="false">IF(AND(ISNUMBER(G343),G343&gt;0),G343/IF(ISNUMBER(ダッシュボード!D12),ダッシュボード!D12,1),"")</f>
        <v/>
      </c>
      <c r="O343" s="26" t="str">
        <f aca="false">IF(ISNUMBER(G343),G343*1+IF(ISNUMBER(H343),H343,0)*5+IF(ISNUMBER(J343),J343,0)*10+IF(ISNUMBER(K343),K343,0)*3,"")</f>
        <v/>
      </c>
      <c r="P343" s="22"/>
    </row>
    <row r="344" customFormat="false" ht="15" hidden="false" customHeight="true" outlineLevel="0" collapsed="false">
      <c r="A344" s="22" t="s">
        <v>135</v>
      </c>
      <c r="B344" s="23" t="s">
        <v>65</v>
      </c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4" t="str">
        <f aca="false">IF(AND(ISNUMBER(H344),ISNUMBER(G344),G344&gt;0),H344/G344,"")</f>
        <v/>
      </c>
      <c r="N344" s="25" t="str">
        <f aca="false">IF(AND(ISNUMBER(G344),G344&gt;0),G344/IF(ISNUMBER(ダッシュボード!D12),ダッシュボード!D12,1),"")</f>
        <v/>
      </c>
      <c r="O344" s="26" t="str">
        <f aca="false">IF(ISNUMBER(G344),G344*1+IF(ISNUMBER(H344),H344,0)*5+IF(ISNUMBER(J344),J344,0)*10+IF(ISNUMBER(K344),K344,0)*3,"")</f>
        <v/>
      </c>
      <c r="P344" s="22"/>
    </row>
    <row r="345" customFormat="false" ht="15" hidden="false" customHeight="true" outlineLevel="0" collapsed="false">
      <c r="A345" s="22" t="s">
        <v>135</v>
      </c>
      <c r="B345" s="23" t="s">
        <v>66</v>
      </c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4" t="str">
        <f aca="false">IF(AND(ISNUMBER(H345),ISNUMBER(G345),G345&gt;0),H345/G345,"")</f>
        <v/>
      </c>
      <c r="N345" s="25" t="str">
        <f aca="false">IF(AND(ISNUMBER(G345),G345&gt;0),G345/IF(ISNUMBER(ダッシュボード!D12),ダッシュボード!D12,1),"")</f>
        <v/>
      </c>
      <c r="O345" s="26" t="str">
        <f aca="false">IF(ISNUMBER(G345),G345*1+IF(ISNUMBER(H345),H345,0)*5+IF(ISNUMBER(J345),J345,0)*10+IF(ISNUMBER(K345),K345,0)*3,"")</f>
        <v/>
      </c>
      <c r="P345" s="22"/>
    </row>
    <row r="346" customFormat="false" ht="15" hidden="false" customHeight="true" outlineLevel="0" collapsed="false">
      <c r="A346" s="22" t="s">
        <v>135</v>
      </c>
      <c r="B346" s="23" t="s">
        <v>67</v>
      </c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4" t="str">
        <f aca="false">IF(AND(ISNUMBER(H346),ISNUMBER(G346),G346&gt;0),H346/G346,"")</f>
        <v/>
      </c>
      <c r="N346" s="25" t="str">
        <f aca="false">IF(AND(ISNUMBER(G346),G346&gt;0),G346/IF(ISNUMBER(ダッシュボード!D12),ダッシュボード!D12,1),"")</f>
        <v/>
      </c>
      <c r="O346" s="26" t="str">
        <f aca="false">IF(ISNUMBER(G346),G346*1+IF(ISNUMBER(H346),H346,0)*5+IF(ISNUMBER(J346),J346,0)*10+IF(ISNUMBER(K346),K346,0)*3,"")</f>
        <v/>
      </c>
      <c r="P346" s="22"/>
    </row>
    <row r="347" customFormat="false" ht="15" hidden="false" customHeight="true" outlineLevel="0" collapsed="false">
      <c r="A347" s="27" t="s">
        <v>136</v>
      </c>
      <c r="B347" s="28" t="s">
        <v>63</v>
      </c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9" t="str">
        <f aca="false">IF(AND(ISNUMBER(H347),ISNUMBER(G347),G347&gt;0),H347/G347,"")</f>
        <v/>
      </c>
      <c r="N347" s="30" t="str">
        <f aca="false">IF(AND(ISNUMBER(G347),G347&gt;0),G347/IF(ISNUMBER(ダッシュボード!D12),ダッシュボード!D12,1),"")</f>
        <v/>
      </c>
      <c r="O347" s="31" t="str">
        <f aca="false">IF(ISNUMBER(G347),G347*1+IF(ISNUMBER(H347),H347,0)*5+IF(ISNUMBER(J347),J347,0)*10+IF(ISNUMBER(K347),K347,0)*3,"")</f>
        <v/>
      </c>
      <c r="P347" s="27"/>
    </row>
    <row r="348" customFormat="false" ht="15" hidden="false" customHeight="true" outlineLevel="0" collapsed="false">
      <c r="A348" s="27" t="s">
        <v>136</v>
      </c>
      <c r="B348" s="28" t="s">
        <v>64</v>
      </c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9" t="str">
        <f aca="false">IF(AND(ISNUMBER(H348),ISNUMBER(G348),G348&gt;0),H348/G348,"")</f>
        <v/>
      </c>
      <c r="N348" s="30" t="str">
        <f aca="false">IF(AND(ISNUMBER(G348),G348&gt;0),G348/IF(ISNUMBER(ダッシュボード!D12),ダッシュボード!D12,1),"")</f>
        <v/>
      </c>
      <c r="O348" s="31" t="str">
        <f aca="false">IF(ISNUMBER(G348),G348*1+IF(ISNUMBER(H348),H348,0)*5+IF(ISNUMBER(J348),J348,0)*10+IF(ISNUMBER(K348),K348,0)*3,"")</f>
        <v/>
      </c>
      <c r="P348" s="27"/>
    </row>
    <row r="349" customFormat="false" ht="15" hidden="false" customHeight="true" outlineLevel="0" collapsed="false">
      <c r="A349" s="27" t="s">
        <v>136</v>
      </c>
      <c r="B349" s="28" t="s">
        <v>65</v>
      </c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9" t="str">
        <f aca="false">IF(AND(ISNUMBER(H349),ISNUMBER(G349),G349&gt;0),H349/G349,"")</f>
        <v/>
      </c>
      <c r="N349" s="30" t="str">
        <f aca="false">IF(AND(ISNUMBER(G349),G349&gt;0),G349/IF(ISNUMBER(ダッシュボード!D12),ダッシュボード!D12,1),"")</f>
        <v/>
      </c>
      <c r="O349" s="31" t="str">
        <f aca="false">IF(ISNUMBER(G349),G349*1+IF(ISNUMBER(H349),H349,0)*5+IF(ISNUMBER(J349),J349,0)*10+IF(ISNUMBER(K349),K349,0)*3,"")</f>
        <v/>
      </c>
      <c r="P349" s="27"/>
    </row>
    <row r="350" customFormat="false" ht="15" hidden="false" customHeight="true" outlineLevel="0" collapsed="false">
      <c r="A350" s="27" t="s">
        <v>136</v>
      </c>
      <c r="B350" s="28" t="s">
        <v>66</v>
      </c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9" t="str">
        <f aca="false">IF(AND(ISNUMBER(H350),ISNUMBER(G350),G350&gt;0),H350/G350,"")</f>
        <v/>
      </c>
      <c r="N350" s="30" t="str">
        <f aca="false">IF(AND(ISNUMBER(G350),G350&gt;0),G350/IF(ISNUMBER(ダッシュボード!D12),ダッシュボード!D12,1),"")</f>
        <v/>
      </c>
      <c r="O350" s="31" t="str">
        <f aca="false">IF(ISNUMBER(G350),G350*1+IF(ISNUMBER(H350),H350,0)*5+IF(ISNUMBER(J350),J350,0)*10+IF(ISNUMBER(K350),K350,0)*3,"")</f>
        <v/>
      </c>
      <c r="P350" s="27"/>
    </row>
    <row r="351" customFormat="false" ht="15" hidden="false" customHeight="true" outlineLevel="0" collapsed="false">
      <c r="A351" s="27" t="s">
        <v>136</v>
      </c>
      <c r="B351" s="28" t="s">
        <v>67</v>
      </c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9" t="str">
        <f aca="false">IF(AND(ISNUMBER(H351),ISNUMBER(G351),G351&gt;0),H351/G351,"")</f>
        <v/>
      </c>
      <c r="N351" s="30" t="str">
        <f aca="false">IF(AND(ISNUMBER(G351),G351&gt;0),G351/IF(ISNUMBER(ダッシュボード!D12),ダッシュボード!D12,1),"")</f>
        <v/>
      </c>
      <c r="O351" s="31" t="str">
        <f aca="false">IF(ISNUMBER(G351),G351*1+IF(ISNUMBER(H351),H351,0)*5+IF(ISNUMBER(J351),J351,0)*10+IF(ISNUMBER(K351),K351,0)*3,"")</f>
        <v/>
      </c>
      <c r="P351" s="27"/>
    </row>
    <row r="352" customFormat="false" ht="15" hidden="false" customHeight="true" outlineLevel="0" collapsed="false">
      <c r="A352" s="22" t="s">
        <v>137</v>
      </c>
      <c r="B352" s="23" t="s">
        <v>63</v>
      </c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4" t="str">
        <f aca="false">IF(AND(ISNUMBER(H352),ISNUMBER(G352),G352&gt;0),H352/G352,"")</f>
        <v/>
      </c>
      <c r="N352" s="25" t="str">
        <f aca="false">IF(AND(ISNUMBER(G352),G352&gt;0),G352/IF(ISNUMBER(ダッシュボード!D12),ダッシュボード!D12,1),"")</f>
        <v/>
      </c>
      <c r="O352" s="26" t="str">
        <f aca="false">IF(ISNUMBER(G352),G352*1+IF(ISNUMBER(H352),H352,0)*5+IF(ISNUMBER(J352),J352,0)*10+IF(ISNUMBER(K352),K352,0)*3,"")</f>
        <v/>
      </c>
      <c r="P352" s="22"/>
    </row>
    <row r="353" customFormat="false" ht="15" hidden="false" customHeight="true" outlineLevel="0" collapsed="false">
      <c r="A353" s="22" t="s">
        <v>137</v>
      </c>
      <c r="B353" s="23" t="s">
        <v>64</v>
      </c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4" t="str">
        <f aca="false">IF(AND(ISNUMBER(H353),ISNUMBER(G353),G353&gt;0),H353/G353,"")</f>
        <v/>
      </c>
      <c r="N353" s="25" t="str">
        <f aca="false">IF(AND(ISNUMBER(G353),G353&gt;0),G353/IF(ISNUMBER(ダッシュボード!D12),ダッシュボード!D12,1),"")</f>
        <v/>
      </c>
      <c r="O353" s="26" t="str">
        <f aca="false">IF(ISNUMBER(G353),G353*1+IF(ISNUMBER(H353),H353,0)*5+IF(ISNUMBER(J353),J353,0)*10+IF(ISNUMBER(K353),K353,0)*3,"")</f>
        <v/>
      </c>
      <c r="P353" s="22"/>
    </row>
    <row r="354" customFormat="false" ht="15" hidden="false" customHeight="true" outlineLevel="0" collapsed="false">
      <c r="A354" s="22" t="s">
        <v>137</v>
      </c>
      <c r="B354" s="23" t="s">
        <v>65</v>
      </c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4" t="str">
        <f aca="false">IF(AND(ISNUMBER(H354),ISNUMBER(G354),G354&gt;0),H354/G354,"")</f>
        <v/>
      </c>
      <c r="N354" s="25" t="str">
        <f aca="false">IF(AND(ISNUMBER(G354),G354&gt;0),G354/IF(ISNUMBER(ダッシュボード!D12),ダッシュボード!D12,1),"")</f>
        <v/>
      </c>
      <c r="O354" s="26" t="str">
        <f aca="false">IF(ISNUMBER(G354),G354*1+IF(ISNUMBER(H354),H354,0)*5+IF(ISNUMBER(J354),J354,0)*10+IF(ISNUMBER(K354),K354,0)*3,"")</f>
        <v/>
      </c>
      <c r="P354" s="22"/>
    </row>
    <row r="355" customFormat="false" ht="15" hidden="false" customHeight="true" outlineLevel="0" collapsed="false">
      <c r="A355" s="22" t="s">
        <v>137</v>
      </c>
      <c r="B355" s="23" t="s">
        <v>66</v>
      </c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4" t="str">
        <f aca="false">IF(AND(ISNUMBER(H355),ISNUMBER(G355),G355&gt;0),H355/G355,"")</f>
        <v/>
      </c>
      <c r="N355" s="25" t="str">
        <f aca="false">IF(AND(ISNUMBER(G355),G355&gt;0),G355/IF(ISNUMBER(ダッシュボード!D12),ダッシュボード!D12,1),"")</f>
        <v/>
      </c>
      <c r="O355" s="26" t="str">
        <f aca="false">IF(ISNUMBER(G355),G355*1+IF(ISNUMBER(H355),H355,0)*5+IF(ISNUMBER(J355),J355,0)*10+IF(ISNUMBER(K355),K355,0)*3,"")</f>
        <v/>
      </c>
      <c r="P355" s="22"/>
    </row>
    <row r="356" customFormat="false" ht="15" hidden="false" customHeight="true" outlineLevel="0" collapsed="false">
      <c r="A356" s="22" t="s">
        <v>137</v>
      </c>
      <c r="B356" s="23" t="s">
        <v>67</v>
      </c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4" t="str">
        <f aca="false">IF(AND(ISNUMBER(H356),ISNUMBER(G356),G356&gt;0),H356/G356,"")</f>
        <v/>
      </c>
      <c r="N356" s="25" t="str">
        <f aca="false">IF(AND(ISNUMBER(G356),G356&gt;0),G356/IF(ISNUMBER(ダッシュボード!D12),ダッシュボード!D12,1),"")</f>
        <v/>
      </c>
      <c r="O356" s="26" t="str">
        <f aca="false">IF(ISNUMBER(G356),G356*1+IF(ISNUMBER(H356),H356,0)*5+IF(ISNUMBER(J356),J356,0)*10+IF(ISNUMBER(K356),K356,0)*3,"")</f>
        <v/>
      </c>
      <c r="P356" s="22"/>
    </row>
    <row r="357" customFormat="false" ht="15" hidden="false" customHeight="true" outlineLevel="0" collapsed="false">
      <c r="A357" s="27" t="s">
        <v>138</v>
      </c>
      <c r="B357" s="28" t="s">
        <v>63</v>
      </c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9" t="str">
        <f aca="false">IF(AND(ISNUMBER(H357),ISNUMBER(G357),G357&gt;0),H357/G357,"")</f>
        <v/>
      </c>
      <c r="N357" s="30" t="str">
        <f aca="false">IF(AND(ISNUMBER(G357),G357&gt;0),G357/IF(ISNUMBER(ダッシュボード!D12),ダッシュボード!D12,1),"")</f>
        <v/>
      </c>
      <c r="O357" s="31" t="str">
        <f aca="false">IF(ISNUMBER(G357),G357*1+IF(ISNUMBER(H357),H357,0)*5+IF(ISNUMBER(J357),J357,0)*10+IF(ISNUMBER(K357),K357,0)*3,"")</f>
        <v/>
      </c>
      <c r="P357" s="27"/>
    </row>
    <row r="358" customFormat="false" ht="15" hidden="false" customHeight="true" outlineLevel="0" collapsed="false">
      <c r="A358" s="27" t="s">
        <v>138</v>
      </c>
      <c r="B358" s="28" t="s">
        <v>64</v>
      </c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9" t="str">
        <f aca="false">IF(AND(ISNUMBER(H358),ISNUMBER(G358),G358&gt;0),H358/G358,"")</f>
        <v/>
      </c>
      <c r="N358" s="30" t="str">
        <f aca="false">IF(AND(ISNUMBER(G358),G358&gt;0),G358/IF(ISNUMBER(ダッシュボード!D12),ダッシュボード!D12,1),"")</f>
        <v/>
      </c>
      <c r="O358" s="31" t="str">
        <f aca="false">IF(ISNUMBER(G358),G358*1+IF(ISNUMBER(H358),H358,0)*5+IF(ISNUMBER(J358),J358,0)*10+IF(ISNUMBER(K358),K358,0)*3,"")</f>
        <v/>
      </c>
      <c r="P358" s="27"/>
    </row>
    <row r="359" customFormat="false" ht="15" hidden="false" customHeight="true" outlineLevel="0" collapsed="false">
      <c r="A359" s="27" t="s">
        <v>138</v>
      </c>
      <c r="B359" s="28" t="s">
        <v>65</v>
      </c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9" t="str">
        <f aca="false">IF(AND(ISNUMBER(H359),ISNUMBER(G359),G359&gt;0),H359/G359,"")</f>
        <v/>
      </c>
      <c r="N359" s="30" t="str">
        <f aca="false">IF(AND(ISNUMBER(G359),G359&gt;0),G359/IF(ISNUMBER(ダッシュボード!D12),ダッシュボード!D12,1),"")</f>
        <v/>
      </c>
      <c r="O359" s="31" t="str">
        <f aca="false">IF(ISNUMBER(G359),G359*1+IF(ISNUMBER(H359),H359,0)*5+IF(ISNUMBER(J359),J359,0)*10+IF(ISNUMBER(K359),K359,0)*3,"")</f>
        <v/>
      </c>
      <c r="P359" s="27"/>
    </row>
    <row r="360" customFormat="false" ht="15" hidden="false" customHeight="true" outlineLevel="0" collapsed="false">
      <c r="A360" s="27" t="s">
        <v>138</v>
      </c>
      <c r="B360" s="28" t="s">
        <v>66</v>
      </c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9" t="str">
        <f aca="false">IF(AND(ISNUMBER(H360),ISNUMBER(G360),G360&gt;0),H360/G360,"")</f>
        <v/>
      </c>
      <c r="N360" s="30" t="str">
        <f aca="false">IF(AND(ISNUMBER(G360),G360&gt;0),G360/IF(ISNUMBER(ダッシュボード!D12),ダッシュボード!D12,1),"")</f>
        <v/>
      </c>
      <c r="O360" s="31" t="str">
        <f aca="false">IF(ISNUMBER(G360),G360*1+IF(ISNUMBER(H360),H360,0)*5+IF(ISNUMBER(J360),J360,0)*10+IF(ISNUMBER(K360),K360,0)*3,"")</f>
        <v/>
      </c>
      <c r="P360" s="27"/>
    </row>
    <row r="361" customFormat="false" ht="15" hidden="false" customHeight="true" outlineLevel="0" collapsed="false">
      <c r="A361" s="27" t="s">
        <v>138</v>
      </c>
      <c r="B361" s="28" t="s">
        <v>67</v>
      </c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9" t="str">
        <f aca="false">IF(AND(ISNUMBER(H361),ISNUMBER(G361),G361&gt;0),H361/G361,"")</f>
        <v/>
      </c>
      <c r="N361" s="30" t="str">
        <f aca="false">IF(AND(ISNUMBER(G361),G361&gt;0),G361/IF(ISNUMBER(ダッシュボード!D12),ダッシュボード!D12,1),"")</f>
        <v/>
      </c>
      <c r="O361" s="31" t="str">
        <f aca="false">IF(ISNUMBER(G361),G361*1+IF(ISNUMBER(H361),H361,0)*5+IF(ISNUMBER(J361),J361,0)*10+IF(ISNUMBER(K361),K361,0)*3,"")</f>
        <v/>
      </c>
      <c r="P361" s="27"/>
    </row>
    <row r="362" customFormat="false" ht="15" hidden="false" customHeight="true" outlineLevel="0" collapsed="false">
      <c r="A362" s="22" t="s">
        <v>139</v>
      </c>
      <c r="B362" s="23" t="s">
        <v>63</v>
      </c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4" t="str">
        <f aca="false">IF(AND(ISNUMBER(H362),ISNUMBER(G362),G362&gt;0),H362/G362,"")</f>
        <v/>
      </c>
      <c r="N362" s="25" t="str">
        <f aca="false">IF(AND(ISNUMBER(G362),G362&gt;0),G362/IF(ISNUMBER(ダッシュボード!D12),ダッシュボード!D12,1),"")</f>
        <v/>
      </c>
      <c r="O362" s="26" t="str">
        <f aca="false">IF(ISNUMBER(G362),G362*1+IF(ISNUMBER(H362),H362,0)*5+IF(ISNUMBER(J362),J362,0)*10+IF(ISNUMBER(K362),K362,0)*3,"")</f>
        <v/>
      </c>
      <c r="P362" s="22"/>
    </row>
    <row r="363" customFormat="false" ht="15" hidden="false" customHeight="true" outlineLevel="0" collapsed="false">
      <c r="A363" s="22" t="s">
        <v>139</v>
      </c>
      <c r="B363" s="23" t="s">
        <v>64</v>
      </c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4" t="str">
        <f aca="false">IF(AND(ISNUMBER(H363),ISNUMBER(G363),G363&gt;0),H363/G363,"")</f>
        <v/>
      </c>
      <c r="N363" s="25" t="str">
        <f aca="false">IF(AND(ISNUMBER(G363),G363&gt;0),G363/IF(ISNUMBER(ダッシュボード!D12),ダッシュボード!D12,1),"")</f>
        <v/>
      </c>
      <c r="O363" s="26" t="str">
        <f aca="false">IF(ISNUMBER(G363),G363*1+IF(ISNUMBER(H363),H363,0)*5+IF(ISNUMBER(J363),J363,0)*10+IF(ISNUMBER(K363),K363,0)*3,"")</f>
        <v/>
      </c>
      <c r="P363" s="22"/>
    </row>
    <row r="364" customFormat="false" ht="15" hidden="false" customHeight="true" outlineLevel="0" collapsed="false">
      <c r="A364" s="22" t="s">
        <v>139</v>
      </c>
      <c r="B364" s="23" t="s">
        <v>65</v>
      </c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4" t="str">
        <f aca="false">IF(AND(ISNUMBER(H364),ISNUMBER(G364),G364&gt;0),H364/G364,"")</f>
        <v/>
      </c>
      <c r="N364" s="25" t="str">
        <f aca="false">IF(AND(ISNUMBER(G364),G364&gt;0),G364/IF(ISNUMBER(ダッシュボード!D12),ダッシュボード!D12,1),"")</f>
        <v/>
      </c>
      <c r="O364" s="26" t="str">
        <f aca="false">IF(ISNUMBER(G364),G364*1+IF(ISNUMBER(H364),H364,0)*5+IF(ISNUMBER(J364),J364,0)*10+IF(ISNUMBER(K364),K364,0)*3,"")</f>
        <v/>
      </c>
      <c r="P364" s="22"/>
    </row>
    <row r="365" customFormat="false" ht="15" hidden="false" customHeight="true" outlineLevel="0" collapsed="false">
      <c r="A365" s="22" t="s">
        <v>139</v>
      </c>
      <c r="B365" s="23" t="s">
        <v>66</v>
      </c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4" t="str">
        <f aca="false">IF(AND(ISNUMBER(H365),ISNUMBER(G365),G365&gt;0),H365/G365,"")</f>
        <v/>
      </c>
      <c r="N365" s="25" t="str">
        <f aca="false">IF(AND(ISNUMBER(G365),G365&gt;0),G365/IF(ISNUMBER(ダッシュボード!D12),ダッシュボード!D12,1),"")</f>
        <v/>
      </c>
      <c r="O365" s="26" t="str">
        <f aca="false">IF(ISNUMBER(G365),G365*1+IF(ISNUMBER(H365),H365,0)*5+IF(ISNUMBER(J365),J365,0)*10+IF(ISNUMBER(K365),K365,0)*3,"")</f>
        <v/>
      </c>
      <c r="P365" s="22"/>
    </row>
    <row r="366" customFormat="false" ht="15" hidden="false" customHeight="true" outlineLevel="0" collapsed="false">
      <c r="A366" s="22" t="s">
        <v>139</v>
      </c>
      <c r="B366" s="23" t="s">
        <v>67</v>
      </c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4" t="str">
        <f aca="false">IF(AND(ISNUMBER(H366),ISNUMBER(G366),G366&gt;0),H366/G366,"")</f>
        <v/>
      </c>
      <c r="N366" s="25" t="str">
        <f aca="false">IF(AND(ISNUMBER(G366),G366&gt;0),G366/IF(ISNUMBER(ダッシュボード!D12),ダッシュボード!D12,1),"")</f>
        <v/>
      </c>
      <c r="O366" s="26" t="str">
        <f aca="false">IF(ISNUMBER(G366),G366*1+IF(ISNUMBER(H366),H366,0)*5+IF(ISNUMBER(J366),J366,0)*10+IF(ISNUMBER(K366),K366,0)*3,"")</f>
        <v/>
      </c>
      <c r="P366" s="22"/>
    </row>
    <row r="367" customFormat="false" ht="15" hidden="false" customHeight="true" outlineLevel="0" collapsed="false">
      <c r="A367" s="27" t="s">
        <v>140</v>
      </c>
      <c r="B367" s="28" t="s">
        <v>63</v>
      </c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9" t="str">
        <f aca="false">IF(AND(ISNUMBER(H367),ISNUMBER(G367),G367&gt;0),H367/G367,"")</f>
        <v/>
      </c>
      <c r="N367" s="30" t="str">
        <f aca="false">IF(AND(ISNUMBER(G367),G367&gt;0),G367/IF(ISNUMBER(ダッシュボード!D12),ダッシュボード!D12,1),"")</f>
        <v/>
      </c>
      <c r="O367" s="31" t="str">
        <f aca="false">IF(ISNUMBER(G367),G367*1+IF(ISNUMBER(H367),H367,0)*5+IF(ISNUMBER(J367),J367,0)*10+IF(ISNUMBER(K367),K367,0)*3,"")</f>
        <v/>
      </c>
      <c r="P367" s="27"/>
    </row>
    <row r="368" customFormat="false" ht="15" hidden="false" customHeight="true" outlineLevel="0" collapsed="false">
      <c r="A368" s="27" t="s">
        <v>140</v>
      </c>
      <c r="B368" s="28" t="s">
        <v>64</v>
      </c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9" t="str">
        <f aca="false">IF(AND(ISNUMBER(H368),ISNUMBER(G368),G368&gt;0),H368/G368,"")</f>
        <v/>
      </c>
      <c r="N368" s="30" t="str">
        <f aca="false">IF(AND(ISNUMBER(G368),G368&gt;0),G368/IF(ISNUMBER(ダッシュボード!D12),ダッシュボード!D12,1),"")</f>
        <v/>
      </c>
      <c r="O368" s="31" t="str">
        <f aca="false">IF(ISNUMBER(G368),G368*1+IF(ISNUMBER(H368),H368,0)*5+IF(ISNUMBER(J368),J368,0)*10+IF(ISNUMBER(K368),K368,0)*3,"")</f>
        <v/>
      </c>
      <c r="P368" s="27"/>
    </row>
    <row r="369" customFormat="false" ht="15" hidden="false" customHeight="true" outlineLevel="0" collapsed="false">
      <c r="A369" s="27" t="s">
        <v>140</v>
      </c>
      <c r="B369" s="28" t="s">
        <v>65</v>
      </c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9" t="str">
        <f aca="false">IF(AND(ISNUMBER(H369),ISNUMBER(G369),G369&gt;0),H369/G369,"")</f>
        <v/>
      </c>
      <c r="N369" s="30" t="str">
        <f aca="false">IF(AND(ISNUMBER(G369),G369&gt;0),G369/IF(ISNUMBER(ダッシュボード!D12),ダッシュボード!D12,1),"")</f>
        <v/>
      </c>
      <c r="O369" s="31" t="str">
        <f aca="false">IF(ISNUMBER(G369),G369*1+IF(ISNUMBER(H369),H369,0)*5+IF(ISNUMBER(J369),J369,0)*10+IF(ISNUMBER(K369),K369,0)*3,"")</f>
        <v/>
      </c>
      <c r="P369" s="27"/>
    </row>
    <row r="370" customFormat="false" ht="15" hidden="false" customHeight="true" outlineLevel="0" collapsed="false">
      <c r="A370" s="27" t="s">
        <v>140</v>
      </c>
      <c r="B370" s="28" t="s">
        <v>66</v>
      </c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9" t="str">
        <f aca="false">IF(AND(ISNUMBER(H370),ISNUMBER(G370),G370&gt;0),H370/G370,"")</f>
        <v/>
      </c>
      <c r="N370" s="30" t="str">
        <f aca="false">IF(AND(ISNUMBER(G370),G370&gt;0),G370/IF(ISNUMBER(ダッシュボード!D12),ダッシュボード!D12,1),"")</f>
        <v/>
      </c>
      <c r="O370" s="31" t="str">
        <f aca="false">IF(ISNUMBER(G370),G370*1+IF(ISNUMBER(H370),H370,0)*5+IF(ISNUMBER(J370),J370,0)*10+IF(ISNUMBER(K370),K370,0)*3,"")</f>
        <v/>
      </c>
      <c r="P370" s="27"/>
    </row>
    <row r="371" customFormat="false" ht="15" hidden="false" customHeight="true" outlineLevel="0" collapsed="false">
      <c r="A371" s="27" t="s">
        <v>140</v>
      </c>
      <c r="B371" s="28" t="s">
        <v>67</v>
      </c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9" t="str">
        <f aca="false">IF(AND(ISNUMBER(H371),ISNUMBER(G371),G371&gt;0),H371/G371,"")</f>
        <v/>
      </c>
      <c r="N371" s="30" t="str">
        <f aca="false">IF(AND(ISNUMBER(G371),G371&gt;0),G371/IF(ISNUMBER(ダッシュボード!D12),ダッシュボード!D12,1),"")</f>
        <v/>
      </c>
      <c r="O371" s="31" t="str">
        <f aca="false">IF(ISNUMBER(G371),G371*1+IF(ISNUMBER(H371),H371,0)*5+IF(ISNUMBER(J371),J371,0)*10+IF(ISNUMBER(K371),K371,0)*3,"")</f>
        <v/>
      </c>
      <c r="P371" s="27"/>
    </row>
    <row r="372" customFormat="false" ht="15" hidden="false" customHeight="true" outlineLevel="0" collapsed="false">
      <c r="A372" s="22" t="s">
        <v>141</v>
      </c>
      <c r="B372" s="23" t="s">
        <v>63</v>
      </c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4" t="str">
        <f aca="false">IF(AND(ISNUMBER(H372),ISNUMBER(G372),G372&gt;0),H372/G372,"")</f>
        <v/>
      </c>
      <c r="N372" s="25" t="str">
        <f aca="false">IF(AND(ISNUMBER(G372),G372&gt;0),G372/IF(ISNUMBER(ダッシュボード!D12),ダッシュボード!D12,1),"")</f>
        <v/>
      </c>
      <c r="O372" s="26" t="str">
        <f aca="false">IF(ISNUMBER(G372),G372*1+IF(ISNUMBER(H372),H372,0)*5+IF(ISNUMBER(J372),J372,0)*10+IF(ISNUMBER(K372),K372,0)*3,"")</f>
        <v/>
      </c>
      <c r="P372" s="22"/>
    </row>
    <row r="373" customFormat="false" ht="15" hidden="false" customHeight="true" outlineLevel="0" collapsed="false">
      <c r="A373" s="22" t="s">
        <v>141</v>
      </c>
      <c r="B373" s="23" t="s">
        <v>64</v>
      </c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4" t="str">
        <f aca="false">IF(AND(ISNUMBER(H373),ISNUMBER(G373),G373&gt;0),H373/G373,"")</f>
        <v/>
      </c>
      <c r="N373" s="25" t="str">
        <f aca="false">IF(AND(ISNUMBER(G373),G373&gt;0),G373/IF(ISNUMBER(ダッシュボード!D12),ダッシュボード!D12,1),"")</f>
        <v/>
      </c>
      <c r="O373" s="26" t="str">
        <f aca="false">IF(ISNUMBER(G373),G373*1+IF(ISNUMBER(H373),H373,0)*5+IF(ISNUMBER(J373),J373,0)*10+IF(ISNUMBER(K373),K373,0)*3,"")</f>
        <v/>
      </c>
      <c r="P373" s="22"/>
    </row>
    <row r="374" customFormat="false" ht="15" hidden="false" customHeight="true" outlineLevel="0" collapsed="false">
      <c r="A374" s="22" t="s">
        <v>141</v>
      </c>
      <c r="B374" s="23" t="s">
        <v>65</v>
      </c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4" t="str">
        <f aca="false">IF(AND(ISNUMBER(H374),ISNUMBER(G374),G374&gt;0),H374/G374,"")</f>
        <v/>
      </c>
      <c r="N374" s="25" t="str">
        <f aca="false">IF(AND(ISNUMBER(G374),G374&gt;0),G374/IF(ISNUMBER(ダッシュボード!D12),ダッシュボード!D12,1),"")</f>
        <v/>
      </c>
      <c r="O374" s="26" t="str">
        <f aca="false">IF(ISNUMBER(G374),G374*1+IF(ISNUMBER(H374),H374,0)*5+IF(ISNUMBER(J374),J374,0)*10+IF(ISNUMBER(K374),K374,0)*3,"")</f>
        <v/>
      </c>
      <c r="P374" s="22"/>
    </row>
    <row r="375" customFormat="false" ht="15" hidden="false" customHeight="true" outlineLevel="0" collapsed="false">
      <c r="A375" s="22" t="s">
        <v>141</v>
      </c>
      <c r="B375" s="23" t="s">
        <v>66</v>
      </c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4" t="str">
        <f aca="false">IF(AND(ISNUMBER(H375),ISNUMBER(G375),G375&gt;0),H375/G375,"")</f>
        <v/>
      </c>
      <c r="N375" s="25" t="str">
        <f aca="false">IF(AND(ISNUMBER(G375),G375&gt;0),G375/IF(ISNUMBER(ダッシュボード!D12),ダッシュボード!D12,1),"")</f>
        <v/>
      </c>
      <c r="O375" s="26" t="str">
        <f aca="false">IF(ISNUMBER(G375),G375*1+IF(ISNUMBER(H375),H375,0)*5+IF(ISNUMBER(J375),J375,0)*10+IF(ISNUMBER(K375),K375,0)*3,"")</f>
        <v/>
      </c>
      <c r="P375" s="22"/>
    </row>
    <row r="376" customFormat="false" ht="15" hidden="false" customHeight="true" outlineLevel="0" collapsed="false">
      <c r="A376" s="22" t="s">
        <v>141</v>
      </c>
      <c r="B376" s="23" t="s">
        <v>67</v>
      </c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4" t="str">
        <f aca="false">IF(AND(ISNUMBER(H376),ISNUMBER(G376),G376&gt;0),H376/G376,"")</f>
        <v/>
      </c>
      <c r="N376" s="25" t="str">
        <f aca="false">IF(AND(ISNUMBER(G376),G376&gt;0),G376/IF(ISNUMBER(ダッシュボード!D12),ダッシュボード!D12,1),"")</f>
        <v/>
      </c>
      <c r="O376" s="26" t="str">
        <f aca="false">IF(ISNUMBER(G376),G376*1+IF(ISNUMBER(H376),H376,0)*5+IF(ISNUMBER(J376),J376,0)*10+IF(ISNUMBER(K376),K376,0)*3,"")</f>
        <v/>
      </c>
      <c r="P376" s="22"/>
    </row>
    <row r="377" customFormat="false" ht="15" hidden="false" customHeight="true" outlineLevel="0" collapsed="false">
      <c r="A377" s="27" t="s">
        <v>142</v>
      </c>
      <c r="B377" s="28" t="s">
        <v>63</v>
      </c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9" t="str">
        <f aca="false">IF(AND(ISNUMBER(H377),ISNUMBER(G377),G377&gt;0),H377/G377,"")</f>
        <v/>
      </c>
      <c r="N377" s="30" t="str">
        <f aca="false">IF(AND(ISNUMBER(G377),G377&gt;0),G377/IF(ISNUMBER(ダッシュボード!D12),ダッシュボード!D12,1),"")</f>
        <v/>
      </c>
      <c r="O377" s="31" t="str">
        <f aca="false">IF(ISNUMBER(G377),G377*1+IF(ISNUMBER(H377),H377,0)*5+IF(ISNUMBER(J377),J377,0)*10+IF(ISNUMBER(K377),K377,0)*3,"")</f>
        <v/>
      </c>
      <c r="P377" s="27"/>
    </row>
    <row r="378" customFormat="false" ht="15" hidden="false" customHeight="true" outlineLevel="0" collapsed="false">
      <c r="A378" s="27" t="s">
        <v>142</v>
      </c>
      <c r="B378" s="28" t="s">
        <v>64</v>
      </c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9" t="str">
        <f aca="false">IF(AND(ISNUMBER(H378),ISNUMBER(G378),G378&gt;0),H378/G378,"")</f>
        <v/>
      </c>
      <c r="N378" s="30" t="str">
        <f aca="false">IF(AND(ISNUMBER(G378),G378&gt;0),G378/IF(ISNUMBER(ダッシュボード!D12),ダッシュボード!D12,1),"")</f>
        <v/>
      </c>
      <c r="O378" s="31" t="str">
        <f aca="false">IF(ISNUMBER(G378),G378*1+IF(ISNUMBER(H378),H378,0)*5+IF(ISNUMBER(J378),J378,0)*10+IF(ISNUMBER(K378),K378,0)*3,"")</f>
        <v/>
      </c>
      <c r="P378" s="27"/>
    </row>
    <row r="379" customFormat="false" ht="15" hidden="false" customHeight="true" outlineLevel="0" collapsed="false">
      <c r="A379" s="27" t="s">
        <v>142</v>
      </c>
      <c r="B379" s="28" t="s">
        <v>65</v>
      </c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9" t="str">
        <f aca="false">IF(AND(ISNUMBER(H379),ISNUMBER(G379),G379&gt;0),H379/G379,"")</f>
        <v/>
      </c>
      <c r="N379" s="30" t="str">
        <f aca="false">IF(AND(ISNUMBER(G379),G379&gt;0),G379/IF(ISNUMBER(ダッシュボード!D12),ダッシュボード!D12,1),"")</f>
        <v/>
      </c>
      <c r="O379" s="31" t="str">
        <f aca="false">IF(ISNUMBER(G379),G379*1+IF(ISNUMBER(H379),H379,0)*5+IF(ISNUMBER(J379),J379,0)*10+IF(ISNUMBER(K379),K379,0)*3,"")</f>
        <v/>
      </c>
      <c r="P379" s="27"/>
    </row>
    <row r="380" customFormat="false" ht="15" hidden="false" customHeight="true" outlineLevel="0" collapsed="false">
      <c r="A380" s="27" t="s">
        <v>142</v>
      </c>
      <c r="B380" s="28" t="s">
        <v>66</v>
      </c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9" t="str">
        <f aca="false">IF(AND(ISNUMBER(H380),ISNUMBER(G380),G380&gt;0),H380/G380,"")</f>
        <v/>
      </c>
      <c r="N380" s="30" t="str">
        <f aca="false">IF(AND(ISNUMBER(G380),G380&gt;0),G380/IF(ISNUMBER(ダッシュボード!D12),ダッシュボード!D12,1),"")</f>
        <v/>
      </c>
      <c r="O380" s="31" t="str">
        <f aca="false">IF(ISNUMBER(G380),G380*1+IF(ISNUMBER(H380),H380,0)*5+IF(ISNUMBER(J380),J380,0)*10+IF(ISNUMBER(K380),K380,0)*3,"")</f>
        <v/>
      </c>
      <c r="P380" s="27"/>
    </row>
    <row r="381" customFormat="false" ht="15" hidden="false" customHeight="true" outlineLevel="0" collapsed="false">
      <c r="A381" s="27" t="s">
        <v>142</v>
      </c>
      <c r="B381" s="28" t="s">
        <v>67</v>
      </c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9" t="str">
        <f aca="false">IF(AND(ISNUMBER(H381),ISNUMBER(G381),G381&gt;0),H381/G381,"")</f>
        <v/>
      </c>
      <c r="N381" s="30" t="str">
        <f aca="false">IF(AND(ISNUMBER(G381),G381&gt;0),G381/IF(ISNUMBER(ダッシュボード!D12),ダッシュボード!D12,1),"")</f>
        <v/>
      </c>
      <c r="O381" s="31" t="str">
        <f aca="false">IF(ISNUMBER(G381),G381*1+IF(ISNUMBER(H381),H381,0)*5+IF(ISNUMBER(J381),J381,0)*10+IF(ISNUMBER(K381),K381,0)*3,"")</f>
        <v/>
      </c>
      <c r="P381" s="27"/>
    </row>
    <row r="382" customFormat="false" ht="15" hidden="false" customHeight="true" outlineLevel="0" collapsed="false">
      <c r="A382" s="22" t="s">
        <v>143</v>
      </c>
      <c r="B382" s="23" t="s">
        <v>63</v>
      </c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4" t="str">
        <f aca="false">IF(AND(ISNUMBER(H382),ISNUMBER(G382),G382&gt;0),H382/G382,"")</f>
        <v/>
      </c>
      <c r="N382" s="25" t="str">
        <f aca="false">IF(AND(ISNUMBER(G382),G382&gt;0),G382/IF(ISNUMBER(ダッシュボード!D12),ダッシュボード!D12,1),"")</f>
        <v/>
      </c>
      <c r="O382" s="26" t="str">
        <f aca="false">IF(ISNUMBER(G382),G382*1+IF(ISNUMBER(H382),H382,0)*5+IF(ISNUMBER(J382),J382,0)*10+IF(ISNUMBER(K382),K382,0)*3,"")</f>
        <v/>
      </c>
      <c r="P382" s="22"/>
    </row>
    <row r="383" customFormat="false" ht="15" hidden="false" customHeight="true" outlineLevel="0" collapsed="false">
      <c r="A383" s="22" t="s">
        <v>143</v>
      </c>
      <c r="B383" s="23" t="s">
        <v>64</v>
      </c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4" t="str">
        <f aca="false">IF(AND(ISNUMBER(H383),ISNUMBER(G383),G383&gt;0),H383/G383,"")</f>
        <v/>
      </c>
      <c r="N383" s="25" t="str">
        <f aca="false">IF(AND(ISNUMBER(G383),G383&gt;0),G383/IF(ISNUMBER(ダッシュボード!D12),ダッシュボード!D12,1),"")</f>
        <v/>
      </c>
      <c r="O383" s="26" t="str">
        <f aca="false">IF(ISNUMBER(G383),G383*1+IF(ISNUMBER(H383),H383,0)*5+IF(ISNUMBER(J383),J383,0)*10+IF(ISNUMBER(K383),K383,0)*3,"")</f>
        <v/>
      </c>
      <c r="P383" s="22"/>
    </row>
    <row r="384" customFormat="false" ht="15" hidden="false" customHeight="true" outlineLevel="0" collapsed="false">
      <c r="A384" s="22" t="s">
        <v>143</v>
      </c>
      <c r="B384" s="23" t="s">
        <v>65</v>
      </c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4" t="str">
        <f aca="false">IF(AND(ISNUMBER(H384),ISNUMBER(G384),G384&gt;0),H384/G384,"")</f>
        <v/>
      </c>
      <c r="N384" s="25" t="str">
        <f aca="false">IF(AND(ISNUMBER(G384),G384&gt;0),G384/IF(ISNUMBER(ダッシュボード!D12),ダッシュボード!D12,1),"")</f>
        <v/>
      </c>
      <c r="O384" s="26" t="str">
        <f aca="false">IF(ISNUMBER(G384),G384*1+IF(ISNUMBER(H384),H384,0)*5+IF(ISNUMBER(J384),J384,0)*10+IF(ISNUMBER(K384),K384,0)*3,"")</f>
        <v/>
      </c>
      <c r="P384" s="22"/>
    </row>
    <row r="385" customFormat="false" ht="15" hidden="false" customHeight="true" outlineLevel="0" collapsed="false">
      <c r="A385" s="22" t="s">
        <v>143</v>
      </c>
      <c r="B385" s="23" t="s">
        <v>66</v>
      </c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4" t="str">
        <f aca="false">IF(AND(ISNUMBER(H385),ISNUMBER(G385),G385&gt;0),H385/G385,"")</f>
        <v/>
      </c>
      <c r="N385" s="25" t="str">
        <f aca="false">IF(AND(ISNUMBER(G385),G385&gt;0),G385/IF(ISNUMBER(ダッシュボード!D12),ダッシュボード!D12,1),"")</f>
        <v/>
      </c>
      <c r="O385" s="26" t="str">
        <f aca="false">IF(ISNUMBER(G385),G385*1+IF(ISNUMBER(H385),H385,0)*5+IF(ISNUMBER(J385),J385,0)*10+IF(ISNUMBER(K385),K385,0)*3,"")</f>
        <v/>
      </c>
      <c r="P385" s="22"/>
    </row>
    <row r="386" customFormat="false" ht="15" hidden="false" customHeight="true" outlineLevel="0" collapsed="false">
      <c r="A386" s="22" t="s">
        <v>143</v>
      </c>
      <c r="B386" s="23" t="s">
        <v>67</v>
      </c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4" t="str">
        <f aca="false">IF(AND(ISNUMBER(H386),ISNUMBER(G386),G386&gt;0),H386/G386,"")</f>
        <v/>
      </c>
      <c r="N386" s="25" t="str">
        <f aca="false">IF(AND(ISNUMBER(G386),G386&gt;0),G386/IF(ISNUMBER(ダッシュボード!D12),ダッシュボード!D12,1),"")</f>
        <v/>
      </c>
      <c r="O386" s="26" t="str">
        <f aca="false">IF(ISNUMBER(G386),G386*1+IF(ISNUMBER(H386),H386,0)*5+IF(ISNUMBER(J386),J386,0)*10+IF(ISNUMBER(K386),K386,0)*3,"")</f>
        <v/>
      </c>
      <c r="P386" s="22"/>
    </row>
    <row r="387" customFormat="false" ht="15" hidden="false" customHeight="true" outlineLevel="0" collapsed="false">
      <c r="A387" s="27" t="s">
        <v>144</v>
      </c>
      <c r="B387" s="28" t="s">
        <v>63</v>
      </c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9" t="str">
        <f aca="false">IF(AND(ISNUMBER(H387),ISNUMBER(G387),G387&gt;0),H387/G387,"")</f>
        <v/>
      </c>
      <c r="N387" s="30" t="str">
        <f aca="false">IF(AND(ISNUMBER(G387),G387&gt;0),G387/IF(ISNUMBER(ダッシュボード!D12),ダッシュボード!D12,1),"")</f>
        <v/>
      </c>
      <c r="O387" s="31" t="str">
        <f aca="false">IF(ISNUMBER(G387),G387*1+IF(ISNUMBER(H387),H387,0)*5+IF(ISNUMBER(J387),J387,0)*10+IF(ISNUMBER(K387),K387,0)*3,"")</f>
        <v/>
      </c>
      <c r="P387" s="27"/>
    </row>
    <row r="388" customFormat="false" ht="15" hidden="false" customHeight="true" outlineLevel="0" collapsed="false">
      <c r="A388" s="27" t="s">
        <v>144</v>
      </c>
      <c r="B388" s="28" t="s">
        <v>64</v>
      </c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9" t="str">
        <f aca="false">IF(AND(ISNUMBER(H388),ISNUMBER(G388),G388&gt;0),H388/G388,"")</f>
        <v/>
      </c>
      <c r="N388" s="30" t="str">
        <f aca="false">IF(AND(ISNUMBER(G388),G388&gt;0),G388/IF(ISNUMBER(ダッシュボード!D12),ダッシュボード!D12,1),"")</f>
        <v/>
      </c>
      <c r="O388" s="31" t="str">
        <f aca="false">IF(ISNUMBER(G388),G388*1+IF(ISNUMBER(H388),H388,0)*5+IF(ISNUMBER(J388),J388,0)*10+IF(ISNUMBER(K388),K388,0)*3,"")</f>
        <v/>
      </c>
      <c r="P388" s="27"/>
    </row>
    <row r="389" customFormat="false" ht="15" hidden="false" customHeight="true" outlineLevel="0" collapsed="false">
      <c r="A389" s="27" t="s">
        <v>144</v>
      </c>
      <c r="B389" s="28" t="s">
        <v>65</v>
      </c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9" t="str">
        <f aca="false">IF(AND(ISNUMBER(H389),ISNUMBER(G389),G389&gt;0),H389/G389,"")</f>
        <v/>
      </c>
      <c r="N389" s="30" t="str">
        <f aca="false">IF(AND(ISNUMBER(G389),G389&gt;0),G389/IF(ISNUMBER(ダッシュボード!D12),ダッシュボード!D12,1),"")</f>
        <v/>
      </c>
      <c r="O389" s="31" t="str">
        <f aca="false">IF(ISNUMBER(G389),G389*1+IF(ISNUMBER(H389),H389,0)*5+IF(ISNUMBER(J389),J389,0)*10+IF(ISNUMBER(K389),K389,0)*3,"")</f>
        <v/>
      </c>
      <c r="P389" s="27"/>
    </row>
    <row r="390" customFormat="false" ht="15" hidden="false" customHeight="true" outlineLevel="0" collapsed="false">
      <c r="A390" s="27" t="s">
        <v>144</v>
      </c>
      <c r="B390" s="28" t="s">
        <v>66</v>
      </c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9" t="str">
        <f aca="false">IF(AND(ISNUMBER(H390),ISNUMBER(G390),G390&gt;0),H390/G390,"")</f>
        <v/>
      </c>
      <c r="N390" s="30" t="str">
        <f aca="false">IF(AND(ISNUMBER(G390),G390&gt;0),G390/IF(ISNUMBER(ダッシュボード!D12),ダッシュボード!D12,1),"")</f>
        <v/>
      </c>
      <c r="O390" s="31" t="str">
        <f aca="false">IF(ISNUMBER(G390),G390*1+IF(ISNUMBER(H390),H390,0)*5+IF(ISNUMBER(J390),J390,0)*10+IF(ISNUMBER(K390),K390,0)*3,"")</f>
        <v/>
      </c>
      <c r="P390" s="27"/>
    </row>
    <row r="391" customFormat="false" ht="15" hidden="false" customHeight="true" outlineLevel="0" collapsed="false">
      <c r="A391" s="27" t="s">
        <v>144</v>
      </c>
      <c r="B391" s="28" t="s">
        <v>67</v>
      </c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9" t="str">
        <f aca="false">IF(AND(ISNUMBER(H391),ISNUMBER(G391),G391&gt;0),H391/G391,"")</f>
        <v/>
      </c>
      <c r="N391" s="30" t="str">
        <f aca="false">IF(AND(ISNUMBER(G391),G391&gt;0),G391/IF(ISNUMBER(ダッシュボード!D12),ダッシュボード!D12,1),"")</f>
        <v/>
      </c>
      <c r="O391" s="31" t="str">
        <f aca="false">IF(ISNUMBER(G391),G391*1+IF(ISNUMBER(H391),H391,0)*5+IF(ISNUMBER(J391),J391,0)*10+IF(ISNUMBER(K391),K391,0)*3,"")</f>
        <v/>
      </c>
      <c r="P391" s="27"/>
    </row>
    <row r="392" customFormat="false" ht="15" hidden="false" customHeight="true" outlineLevel="0" collapsed="false">
      <c r="A392" s="22" t="s">
        <v>145</v>
      </c>
      <c r="B392" s="23" t="s">
        <v>63</v>
      </c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4" t="str">
        <f aca="false">IF(AND(ISNUMBER(H392),ISNUMBER(G392),G392&gt;0),H392/G392,"")</f>
        <v/>
      </c>
      <c r="N392" s="25" t="str">
        <f aca="false">IF(AND(ISNUMBER(G392),G392&gt;0),G392/IF(ISNUMBER(ダッシュボード!D12),ダッシュボード!D12,1),"")</f>
        <v/>
      </c>
      <c r="O392" s="26" t="str">
        <f aca="false">IF(ISNUMBER(G392),G392*1+IF(ISNUMBER(H392),H392,0)*5+IF(ISNUMBER(J392),J392,0)*10+IF(ISNUMBER(K392),K392,0)*3,"")</f>
        <v/>
      </c>
      <c r="P392" s="22"/>
    </row>
    <row r="393" customFormat="false" ht="15" hidden="false" customHeight="true" outlineLevel="0" collapsed="false">
      <c r="A393" s="22" t="s">
        <v>145</v>
      </c>
      <c r="B393" s="23" t="s">
        <v>64</v>
      </c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4" t="str">
        <f aca="false">IF(AND(ISNUMBER(H393),ISNUMBER(G393),G393&gt;0),H393/G393,"")</f>
        <v/>
      </c>
      <c r="N393" s="25" t="str">
        <f aca="false">IF(AND(ISNUMBER(G393),G393&gt;0),G393/IF(ISNUMBER(ダッシュボード!D12),ダッシュボード!D12,1),"")</f>
        <v/>
      </c>
      <c r="O393" s="26" t="str">
        <f aca="false">IF(ISNUMBER(G393),G393*1+IF(ISNUMBER(H393),H393,0)*5+IF(ISNUMBER(J393),J393,0)*10+IF(ISNUMBER(K393),K393,0)*3,"")</f>
        <v/>
      </c>
      <c r="P393" s="22"/>
    </row>
    <row r="394" customFormat="false" ht="15" hidden="false" customHeight="true" outlineLevel="0" collapsed="false">
      <c r="A394" s="22" t="s">
        <v>145</v>
      </c>
      <c r="B394" s="23" t="s">
        <v>65</v>
      </c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4" t="str">
        <f aca="false">IF(AND(ISNUMBER(H394),ISNUMBER(G394),G394&gt;0),H394/G394,"")</f>
        <v/>
      </c>
      <c r="N394" s="25" t="str">
        <f aca="false">IF(AND(ISNUMBER(G394),G394&gt;0),G394/IF(ISNUMBER(ダッシュボード!D12),ダッシュボード!D12,1),"")</f>
        <v/>
      </c>
      <c r="O394" s="26" t="str">
        <f aca="false">IF(ISNUMBER(G394),G394*1+IF(ISNUMBER(H394),H394,0)*5+IF(ISNUMBER(J394),J394,0)*10+IF(ISNUMBER(K394),K394,0)*3,"")</f>
        <v/>
      </c>
      <c r="P394" s="22"/>
    </row>
    <row r="395" customFormat="false" ht="15" hidden="false" customHeight="true" outlineLevel="0" collapsed="false">
      <c r="A395" s="22" t="s">
        <v>145</v>
      </c>
      <c r="B395" s="23" t="s">
        <v>66</v>
      </c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4" t="str">
        <f aca="false">IF(AND(ISNUMBER(H395),ISNUMBER(G395),G395&gt;0),H395/G395,"")</f>
        <v/>
      </c>
      <c r="N395" s="25" t="str">
        <f aca="false">IF(AND(ISNUMBER(G395),G395&gt;0),G395/IF(ISNUMBER(ダッシュボード!D12),ダッシュボード!D12,1),"")</f>
        <v/>
      </c>
      <c r="O395" s="26" t="str">
        <f aca="false">IF(ISNUMBER(G395),G395*1+IF(ISNUMBER(H395),H395,0)*5+IF(ISNUMBER(J395),J395,0)*10+IF(ISNUMBER(K395),K395,0)*3,"")</f>
        <v/>
      </c>
      <c r="P395" s="22"/>
    </row>
    <row r="396" customFormat="false" ht="15" hidden="false" customHeight="true" outlineLevel="0" collapsed="false">
      <c r="A396" s="22" t="s">
        <v>145</v>
      </c>
      <c r="B396" s="23" t="s">
        <v>67</v>
      </c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4" t="str">
        <f aca="false">IF(AND(ISNUMBER(H396),ISNUMBER(G396),G396&gt;0),H396/G396,"")</f>
        <v/>
      </c>
      <c r="N396" s="25" t="str">
        <f aca="false">IF(AND(ISNUMBER(G396),G396&gt;0),G396/IF(ISNUMBER(ダッシュボード!D12),ダッシュボード!D12,1),"")</f>
        <v/>
      </c>
      <c r="O396" s="26" t="str">
        <f aca="false">IF(ISNUMBER(G396),G396*1+IF(ISNUMBER(H396),H396,0)*5+IF(ISNUMBER(J396),J396,0)*10+IF(ISNUMBER(K396),K396,0)*3,"")</f>
        <v/>
      </c>
      <c r="P396" s="22"/>
    </row>
    <row r="397" customFormat="false" ht="15" hidden="false" customHeight="true" outlineLevel="0" collapsed="false">
      <c r="A397" s="27" t="s">
        <v>146</v>
      </c>
      <c r="B397" s="28" t="s">
        <v>63</v>
      </c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9" t="str">
        <f aca="false">IF(AND(ISNUMBER(H397),ISNUMBER(G397),G397&gt;0),H397/G397,"")</f>
        <v/>
      </c>
      <c r="N397" s="30" t="str">
        <f aca="false">IF(AND(ISNUMBER(G397),G397&gt;0),G397/IF(ISNUMBER(ダッシュボード!D12),ダッシュボード!D12,1),"")</f>
        <v/>
      </c>
      <c r="O397" s="31" t="str">
        <f aca="false">IF(ISNUMBER(G397),G397*1+IF(ISNUMBER(H397),H397,0)*5+IF(ISNUMBER(J397),J397,0)*10+IF(ISNUMBER(K397),K397,0)*3,"")</f>
        <v/>
      </c>
      <c r="P397" s="27"/>
    </row>
    <row r="398" customFormat="false" ht="15" hidden="false" customHeight="true" outlineLevel="0" collapsed="false">
      <c r="A398" s="27" t="s">
        <v>146</v>
      </c>
      <c r="B398" s="28" t="s">
        <v>64</v>
      </c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9" t="str">
        <f aca="false">IF(AND(ISNUMBER(H398),ISNUMBER(G398),G398&gt;0),H398/G398,"")</f>
        <v/>
      </c>
      <c r="N398" s="30" t="str">
        <f aca="false">IF(AND(ISNUMBER(G398),G398&gt;0),G398/IF(ISNUMBER(ダッシュボード!D12),ダッシュボード!D12,1),"")</f>
        <v/>
      </c>
      <c r="O398" s="31" t="str">
        <f aca="false">IF(ISNUMBER(G398),G398*1+IF(ISNUMBER(H398),H398,0)*5+IF(ISNUMBER(J398),J398,0)*10+IF(ISNUMBER(K398),K398,0)*3,"")</f>
        <v/>
      </c>
      <c r="P398" s="27"/>
    </row>
    <row r="399" customFormat="false" ht="15" hidden="false" customHeight="true" outlineLevel="0" collapsed="false">
      <c r="A399" s="27" t="s">
        <v>146</v>
      </c>
      <c r="B399" s="28" t="s">
        <v>65</v>
      </c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9" t="str">
        <f aca="false">IF(AND(ISNUMBER(H399),ISNUMBER(G399),G399&gt;0),H399/G399,"")</f>
        <v/>
      </c>
      <c r="N399" s="30" t="str">
        <f aca="false">IF(AND(ISNUMBER(G399),G399&gt;0),G399/IF(ISNUMBER(ダッシュボード!D12),ダッシュボード!D12,1),"")</f>
        <v/>
      </c>
      <c r="O399" s="31" t="str">
        <f aca="false">IF(ISNUMBER(G399),G399*1+IF(ISNUMBER(H399),H399,0)*5+IF(ISNUMBER(J399),J399,0)*10+IF(ISNUMBER(K399),K399,0)*3,"")</f>
        <v/>
      </c>
      <c r="P399" s="27"/>
    </row>
    <row r="400" customFormat="false" ht="15" hidden="false" customHeight="true" outlineLevel="0" collapsed="false">
      <c r="A400" s="27" t="s">
        <v>146</v>
      </c>
      <c r="B400" s="28" t="s">
        <v>66</v>
      </c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9" t="str">
        <f aca="false">IF(AND(ISNUMBER(H400),ISNUMBER(G400),G400&gt;0),H400/G400,"")</f>
        <v/>
      </c>
      <c r="N400" s="30" t="str">
        <f aca="false">IF(AND(ISNUMBER(G400),G400&gt;0),G400/IF(ISNUMBER(ダッシュボード!D12),ダッシュボード!D12,1),"")</f>
        <v/>
      </c>
      <c r="O400" s="31" t="str">
        <f aca="false">IF(ISNUMBER(G400),G400*1+IF(ISNUMBER(H400),H400,0)*5+IF(ISNUMBER(J400),J400,0)*10+IF(ISNUMBER(K400),K400,0)*3,"")</f>
        <v/>
      </c>
      <c r="P400" s="27"/>
    </row>
    <row r="401" customFormat="false" ht="15" hidden="false" customHeight="true" outlineLevel="0" collapsed="false">
      <c r="A401" s="27" t="s">
        <v>146</v>
      </c>
      <c r="B401" s="28" t="s">
        <v>67</v>
      </c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9" t="str">
        <f aca="false">IF(AND(ISNUMBER(H401),ISNUMBER(G401),G401&gt;0),H401/G401,"")</f>
        <v/>
      </c>
      <c r="N401" s="30" t="str">
        <f aca="false">IF(AND(ISNUMBER(G401),G401&gt;0),G401/IF(ISNUMBER(ダッシュボード!D12),ダッシュボード!D12,1),"")</f>
        <v/>
      </c>
      <c r="O401" s="31" t="str">
        <f aca="false">IF(ISNUMBER(G401),G401*1+IF(ISNUMBER(H401),H401,0)*5+IF(ISNUMBER(J401),J401,0)*10+IF(ISNUMBER(K401),K401,0)*3,"")</f>
        <v/>
      </c>
      <c r="P401" s="27"/>
    </row>
    <row r="402" customFormat="false" ht="15" hidden="false" customHeight="true" outlineLevel="0" collapsed="false">
      <c r="A402" s="22" t="s">
        <v>147</v>
      </c>
      <c r="B402" s="23" t="s">
        <v>63</v>
      </c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4" t="str">
        <f aca="false">IF(AND(ISNUMBER(H402),ISNUMBER(G402),G402&gt;0),H402/G402,"")</f>
        <v/>
      </c>
      <c r="N402" s="25" t="str">
        <f aca="false">IF(AND(ISNUMBER(G402),G402&gt;0),G402/IF(ISNUMBER(ダッシュボード!D12),ダッシュボード!D12,1),"")</f>
        <v/>
      </c>
      <c r="O402" s="26" t="str">
        <f aca="false">IF(ISNUMBER(G402),G402*1+IF(ISNUMBER(H402),H402,0)*5+IF(ISNUMBER(J402),J402,0)*10+IF(ISNUMBER(K402),K402,0)*3,"")</f>
        <v/>
      </c>
      <c r="P402" s="22"/>
    </row>
    <row r="403" customFormat="false" ht="15" hidden="false" customHeight="true" outlineLevel="0" collapsed="false">
      <c r="A403" s="22" t="s">
        <v>147</v>
      </c>
      <c r="B403" s="23" t="s">
        <v>64</v>
      </c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4" t="str">
        <f aca="false">IF(AND(ISNUMBER(H403),ISNUMBER(G403),G403&gt;0),H403/G403,"")</f>
        <v/>
      </c>
      <c r="N403" s="25" t="str">
        <f aca="false">IF(AND(ISNUMBER(G403),G403&gt;0),G403/IF(ISNUMBER(ダッシュボード!D12),ダッシュボード!D12,1),"")</f>
        <v/>
      </c>
      <c r="O403" s="26" t="str">
        <f aca="false">IF(ISNUMBER(G403),G403*1+IF(ISNUMBER(H403),H403,0)*5+IF(ISNUMBER(J403),J403,0)*10+IF(ISNUMBER(K403),K403,0)*3,"")</f>
        <v/>
      </c>
      <c r="P403" s="22"/>
    </row>
    <row r="404" customFormat="false" ht="15" hidden="false" customHeight="true" outlineLevel="0" collapsed="false">
      <c r="A404" s="22" t="s">
        <v>147</v>
      </c>
      <c r="B404" s="23" t="s">
        <v>65</v>
      </c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4" t="str">
        <f aca="false">IF(AND(ISNUMBER(H404),ISNUMBER(G404),G404&gt;0),H404/G404,"")</f>
        <v/>
      </c>
      <c r="N404" s="25" t="str">
        <f aca="false">IF(AND(ISNUMBER(G404),G404&gt;0),G404/IF(ISNUMBER(ダッシュボード!D12),ダッシュボード!D12,1),"")</f>
        <v/>
      </c>
      <c r="O404" s="26" t="str">
        <f aca="false">IF(ISNUMBER(G404),G404*1+IF(ISNUMBER(H404),H404,0)*5+IF(ISNUMBER(J404),J404,0)*10+IF(ISNUMBER(K404),K404,0)*3,"")</f>
        <v/>
      </c>
      <c r="P404" s="22"/>
    </row>
    <row r="405" customFormat="false" ht="15" hidden="false" customHeight="true" outlineLevel="0" collapsed="false">
      <c r="A405" s="22" t="s">
        <v>147</v>
      </c>
      <c r="B405" s="23" t="s">
        <v>66</v>
      </c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4" t="str">
        <f aca="false">IF(AND(ISNUMBER(H405),ISNUMBER(G405),G405&gt;0),H405/G405,"")</f>
        <v/>
      </c>
      <c r="N405" s="25" t="str">
        <f aca="false">IF(AND(ISNUMBER(G405),G405&gt;0),G405/IF(ISNUMBER(ダッシュボード!D12),ダッシュボード!D12,1),"")</f>
        <v/>
      </c>
      <c r="O405" s="26" t="str">
        <f aca="false">IF(ISNUMBER(G405),G405*1+IF(ISNUMBER(H405),H405,0)*5+IF(ISNUMBER(J405),J405,0)*10+IF(ISNUMBER(K405),K405,0)*3,"")</f>
        <v/>
      </c>
      <c r="P405" s="22"/>
    </row>
    <row r="406" customFormat="false" ht="15" hidden="false" customHeight="true" outlineLevel="0" collapsed="false">
      <c r="A406" s="22" t="s">
        <v>147</v>
      </c>
      <c r="B406" s="23" t="s">
        <v>67</v>
      </c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4" t="str">
        <f aca="false">IF(AND(ISNUMBER(H406),ISNUMBER(G406),G406&gt;0),H406/G406,"")</f>
        <v/>
      </c>
      <c r="N406" s="25" t="str">
        <f aca="false">IF(AND(ISNUMBER(G406),G406&gt;0),G406/IF(ISNUMBER(ダッシュボード!D12),ダッシュボード!D12,1),"")</f>
        <v/>
      </c>
      <c r="O406" s="26" t="str">
        <f aca="false">IF(ISNUMBER(G406),G406*1+IF(ISNUMBER(H406),H406,0)*5+IF(ISNUMBER(J406),J406,0)*10+IF(ISNUMBER(K406),K406,0)*3,"")</f>
        <v/>
      </c>
      <c r="P406" s="22"/>
    </row>
    <row r="407" customFormat="false" ht="15" hidden="false" customHeight="true" outlineLevel="0" collapsed="false">
      <c r="A407" s="27" t="s">
        <v>148</v>
      </c>
      <c r="B407" s="28" t="s">
        <v>63</v>
      </c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9" t="str">
        <f aca="false">IF(AND(ISNUMBER(H407),ISNUMBER(G407),G407&gt;0),H407/G407,"")</f>
        <v/>
      </c>
      <c r="N407" s="30" t="str">
        <f aca="false">IF(AND(ISNUMBER(G407),G407&gt;0),G407/IF(ISNUMBER(ダッシュボード!D12),ダッシュボード!D12,1),"")</f>
        <v/>
      </c>
      <c r="O407" s="31" t="str">
        <f aca="false">IF(ISNUMBER(G407),G407*1+IF(ISNUMBER(H407),H407,0)*5+IF(ISNUMBER(J407),J407,0)*10+IF(ISNUMBER(K407),K407,0)*3,"")</f>
        <v/>
      </c>
      <c r="P407" s="27"/>
    </row>
    <row r="408" customFormat="false" ht="15" hidden="false" customHeight="true" outlineLevel="0" collapsed="false">
      <c r="A408" s="27" t="s">
        <v>148</v>
      </c>
      <c r="B408" s="28" t="s">
        <v>64</v>
      </c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9" t="str">
        <f aca="false">IF(AND(ISNUMBER(H408),ISNUMBER(G408),G408&gt;0),H408/G408,"")</f>
        <v/>
      </c>
      <c r="N408" s="30" t="str">
        <f aca="false">IF(AND(ISNUMBER(G408),G408&gt;0),G408/IF(ISNUMBER(ダッシュボード!D12),ダッシュボード!D12,1),"")</f>
        <v/>
      </c>
      <c r="O408" s="31" t="str">
        <f aca="false">IF(ISNUMBER(G408),G408*1+IF(ISNUMBER(H408),H408,0)*5+IF(ISNUMBER(J408),J408,0)*10+IF(ISNUMBER(K408),K408,0)*3,"")</f>
        <v/>
      </c>
      <c r="P408" s="27"/>
    </row>
    <row r="409" customFormat="false" ht="15" hidden="false" customHeight="true" outlineLevel="0" collapsed="false">
      <c r="A409" s="27" t="s">
        <v>148</v>
      </c>
      <c r="B409" s="28" t="s">
        <v>65</v>
      </c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9" t="str">
        <f aca="false">IF(AND(ISNUMBER(H409),ISNUMBER(G409),G409&gt;0),H409/G409,"")</f>
        <v/>
      </c>
      <c r="N409" s="30" t="str">
        <f aca="false">IF(AND(ISNUMBER(G409),G409&gt;0),G409/IF(ISNUMBER(ダッシュボード!D12),ダッシュボード!D12,1),"")</f>
        <v/>
      </c>
      <c r="O409" s="31" t="str">
        <f aca="false">IF(ISNUMBER(G409),G409*1+IF(ISNUMBER(H409),H409,0)*5+IF(ISNUMBER(J409),J409,0)*10+IF(ISNUMBER(K409),K409,0)*3,"")</f>
        <v/>
      </c>
      <c r="P409" s="27"/>
    </row>
    <row r="410" customFormat="false" ht="15" hidden="false" customHeight="true" outlineLevel="0" collapsed="false">
      <c r="A410" s="27" t="s">
        <v>148</v>
      </c>
      <c r="B410" s="28" t="s">
        <v>66</v>
      </c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9" t="str">
        <f aca="false">IF(AND(ISNUMBER(H410),ISNUMBER(G410),G410&gt;0),H410/G410,"")</f>
        <v/>
      </c>
      <c r="N410" s="30" t="str">
        <f aca="false">IF(AND(ISNUMBER(G410),G410&gt;0),G410/IF(ISNUMBER(ダッシュボード!D12),ダッシュボード!D12,1),"")</f>
        <v/>
      </c>
      <c r="O410" s="31" t="str">
        <f aca="false">IF(ISNUMBER(G410),G410*1+IF(ISNUMBER(H410),H410,0)*5+IF(ISNUMBER(J410),J410,0)*10+IF(ISNUMBER(K410),K410,0)*3,"")</f>
        <v/>
      </c>
      <c r="P410" s="27"/>
    </row>
    <row r="411" customFormat="false" ht="15" hidden="false" customHeight="true" outlineLevel="0" collapsed="false">
      <c r="A411" s="27" t="s">
        <v>148</v>
      </c>
      <c r="B411" s="28" t="s">
        <v>67</v>
      </c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9" t="str">
        <f aca="false">IF(AND(ISNUMBER(H411),ISNUMBER(G411),G411&gt;0),H411/G411,"")</f>
        <v/>
      </c>
      <c r="N411" s="30" t="str">
        <f aca="false">IF(AND(ISNUMBER(G411),G411&gt;0),G411/IF(ISNUMBER(ダッシュボード!D12),ダッシュボード!D12,1),"")</f>
        <v/>
      </c>
      <c r="O411" s="31" t="str">
        <f aca="false">IF(ISNUMBER(G411),G411*1+IF(ISNUMBER(H411),H411,0)*5+IF(ISNUMBER(J411),J411,0)*10+IF(ISNUMBER(K411),K411,0)*3,"")</f>
        <v/>
      </c>
      <c r="P411" s="27"/>
    </row>
    <row r="412" customFormat="false" ht="15" hidden="false" customHeight="true" outlineLevel="0" collapsed="false">
      <c r="A412" s="22" t="s">
        <v>149</v>
      </c>
      <c r="B412" s="23" t="s">
        <v>63</v>
      </c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4" t="str">
        <f aca="false">IF(AND(ISNUMBER(H412),ISNUMBER(G412),G412&gt;0),H412/G412,"")</f>
        <v/>
      </c>
      <c r="N412" s="25" t="str">
        <f aca="false">IF(AND(ISNUMBER(G412),G412&gt;0),G412/IF(ISNUMBER(ダッシュボード!D12),ダッシュボード!D12,1),"")</f>
        <v/>
      </c>
      <c r="O412" s="26" t="str">
        <f aca="false">IF(ISNUMBER(G412),G412*1+IF(ISNUMBER(H412),H412,0)*5+IF(ISNUMBER(J412),J412,0)*10+IF(ISNUMBER(K412),K412,0)*3,"")</f>
        <v/>
      </c>
      <c r="P412" s="22"/>
    </row>
    <row r="413" customFormat="false" ht="15" hidden="false" customHeight="true" outlineLevel="0" collapsed="false">
      <c r="A413" s="22" t="s">
        <v>149</v>
      </c>
      <c r="B413" s="23" t="s">
        <v>64</v>
      </c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4" t="str">
        <f aca="false">IF(AND(ISNUMBER(H413),ISNUMBER(G413),G413&gt;0),H413/G413,"")</f>
        <v/>
      </c>
      <c r="N413" s="25" t="str">
        <f aca="false">IF(AND(ISNUMBER(G413),G413&gt;0),G413/IF(ISNUMBER(ダッシュボード!D12),ダッシュボード!D12,1),"")</f>
        <v/>
      </c>
      <c r="O413" s="26" t="str">
        <f aca="false">IF(ISNUMBER(G413),G413*1+IF(ISNUMBER(H413),H413,0)*5+IF(ISNUMBER(J413),J413,0)*10+IF(ISNUMBER(K413),K413,0)*3,"")</f>
        <v/>
      </c>
      <c r="P413" s="22"/>
    </row>
    <row r="414" customFormat="false" ht="15" hidden="false" customHeight="true" outlineLevel="0" collapsed="false">
      <c r="A414" s="22" t="s">
        <v>149</v>
      </c>
      <c r="B414" s="23" t="s">
        <v>65</v>
      </c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4" t="str">
        <f aca="false">IF(AND(ISNUMBER(H414),ISNUMBER(G414),G414&gt;0),H414/G414,"")</f>
        <v/>
      </c>
      <c r="N414" s="25" t="str">
        <f aca="false">IF(AND(ISNUMBER(G414),G414&gt;0),G414/IF(ISNUMBER(ダッシュボード!D12),ダッシュボード!D12,1),"")</f>
        <v/>
      </c>
      <c r="O414" s="26" t="str">
        <f aca="false">IF(ISNUMBER(G414),G414*1+IF(ISNUMBER(H414),H414,0)*5+IF(ISNUMBER(J414),J414,0)*10+IF(ISNUMBER(K414),K414,0)*3,"")</f>
        <v/>
      </c>
      <c r="P414" s="22"/>
    </row>
    <row r="415" customFormat="false" ht="15" hidden="false" customHeight="true" outlineLevel="0" collapsed="false">
      <c r="A415" s="22" t="s">
        <v>149</v>
      </c>
      <c r="B415" s="23" t="s">
        <v>66</v>
      </c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4" t="str">
        <f aca="false">IF(AND(ISNUMBER(H415),ISNUMBER(G415),G415&gt;0),H415/G415,"")</f>
        <v/>
      </c>
      <c r="N415" s="25" t="str">
        <f aca="false">IF(AND(ISNUMBER(G415),G415&gt;0),G415/IF(ISNUMBER(ダッシュボード!D12),ダッシュボード!D12,1),"")</f>
        <v/>
      </c>
      <c r="O415" s="26" t="str">
        <f aca="false">IF(ISNUMBER(G415),G415*1+IF(ISNUMBER(H415),H415,0)*5+IF(ISNUMBER(J415),J415,0)*10+IF(ISNUMBER(K415),K415,0)*3,"")</f>
        <v/>
      </c>
      <c r="P415" s="22"/>
    </row>
    <row r="416" customFormat="false" ht="15" hidden="false" customHeight="true" outlineLevel="0" collapsed="false">
      <c r="A416" s="22" t="s">
        <v>149</v>
      </c>
      <c r="B416" s="23" t="s">
        <v>67</v>
      </c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4" t="str">
        <f aca="false">IF(AND(ISNUMBER(H416),ISNUMBER(G416),G416&gt;0),H416/G416,"")</f>
        <v/>
      </c>
      <c r="N416" s="25" t="str">
        <f aca="false">IF(AND(ISNUMBER(G416),G416&gt;0),G416/IF(ISNUMBER(ダッシュボード!D12),ダッシュボード!D12,1),"")</f>
        <v/>
      </c>
      <c r="O416" s="26" t="str">
        <f aca="false">IF(ISNUMBER(G416),G416*1+IF(ISNUMBER(H416),H416,0)*5+IF(ISNUMBER(J416),J416,0)*10+IF(ISNUMBER(K416),K416,0)*3,"")</f>
        <v/>
      </c>
      <c r="P416" s="22"/>
    </row>
    <row r="417" customFormat="false" ht="15" hidden="false" customHeight="true" outlineLevel="0" collapsed="false">
      <c r="A417" s="27" t="s">
        <v>150</v>
      </c>
      <c r="B417" s="28" t="s">
        <v>63</v>
      </c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9" t="str">
        <f aca="false">IF(AND(ISNUMBER(H417),ISNUMBER(G417),G417&gt;0),H417/G417,"")</f>
        <v/>
      </c>
      <c r="N417" s="30" t="str">
        <f aca="false">IF(AND(ISNUMBER(G417),G417&gt;0),G417/IF(ISNUMBER(ダッシュボード!D12),ダッシュボード!D12,1),"")</f>
        <v/>
      </c>
      <c r="O417" s="31" t="str">
        <f aca="false">IF(ISNUMBER(G417),G417*1+IF(ISNUMBER(H417),H417,0)*5+IF(ISNUMBER(J417),J417,0)*10+IF(ISNUMBER(K417),K417,0)*3,"")</f>
        <v/>
      </c>
      <c r="P417" s="27"/>
    </row>
    <row r="418" customFormat="false" ht="15" hidden="false" customHeight="true" outlineLevel="0" collapsed="false">
      <c r="A418" s="27" t="s">
        <v>150</v>
      </c>
      <c r="B418" s="28" t="s">
        <v>64</v>
      </c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9" t="str">
        <f aca="false">IF(AND(ISNUMBER(H418),ISNUMBER(G418),G418&gt;0),H418/G418,"")</f>
        <v/>
      </c>
      <c r="N418" s="30" t="str">
        <f aca="false">IF(AND(ISNUMBER(G418),G418&gt;0),G418/IF(ISNUMBER(ダッシュボード!D12),ダッシュボード!D12,1),"")</f>
        <v/>
      </c>
      <c r="O418" s="31" t="str">
        <f aca="false">IF(ISNUMBER(G418),G418*1+IF(ISNUMBER(H418),H418,0)*5+IF(ISNUMBER(J418),J418,0)*10+IF(ISNUMBER(K418),K418,0)*3,"")</f>
        <v/>
      </c>
      <c r="P418" s="27"/>
    </row>
    <row r="419" customFormat="false" ht="15" hidden="false" customHeight="true" outlineLevel="0" collapsed="false">
      <c r="A419" s="27" t="s">
        <v>150</v>
      </c>
      <c r="B419" s="28" t="s">
        <v>65</v>
      </c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9" t="str">
        <f aca="false">IF(AND(ISNUMBER(H419),ISNUMBER(G419),G419&gt;0),H419/G419,"")</f>
        <v/>
      </c>
      <c r="N419" s="30" t="str">
        <f aca="false">IF(AND(ISNUMBER(G419),G419&gt;0),G419/IF(ISNUMBER(ダッシュボード!D12),ダッシュボード!D12,1),"")</f>
        <v/>
      </c>
      <c r="O419" s="31" t="str">
        <f aca="false">IF(ISNUMBER(G419),G419*1+IF(ISNUMBER(H419),H419,0)*5+IF(ISNUMBER(J419),J419,0)*10+IF(ISNUMBER(K419),K419,0)*3,"")</f>
        <v/>
      </c>
      <c r="P419" s="27"/>
    </row>
    <row r="420" customFormat="false" ht="15" hidden="false" customHeight="true" outlineLevel="0" collapsed="false">
      <c r="A420" s="27" t="s">
        <v>150</v>
      </c>
      <c r="B420" s="28" t="s">
        <v>66</v>
      </c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9" t="str">
        <f aca="false">IF(AND(ISNUMBER(H420),ISNUMBER(G420),G420&gt;0),H420/G420,"")</f>
        <v/>
      </c>
      <c r="N420" s="30" t="str">
        <f aca="false">IF(AND(ISNUMBER(G420),G420&gt;0),G420/IF(ISNUMBER(ダッシュボード!D12),ダッシュボード!D12,1),"")</f>
        <v/>
      </c>
      <c r="O420" s="31" t="str">
        <f aca="false">IF(ISNUMBER(G420),G420*1+IF(ISNUMBER(H420),H420,0)*5+IF(ISNUMBER(J420),J420,0)*10+IF(ISNUMBER(K420),K420,0)*3,"")</f>
        <v/>
      </c>
      <c r="P420" s="27"/>
    </row>
    <row r="421" customFormat="false" ht="15" hidden="false" customHeight="true" outlineLevel="0" collapsed="false">
      <c r="A421" s="27" t="s">
        <v>150</v>
      </c>
      <c r="B421" s="28" t="s">
        <v>67</v>
      </c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9" t="str">
        <f aca="false">IF(AND(ISNUMBER(H421),ISNUMBER(G421),G421&gt;0),H421/G421,"")</f>
        <v/>
      </c>
      <c r="N421" s="30" t="str">
        <f aca="false">IF(AND(ISNUMBER(G421),G421&gt;0),G421/IF(ISNUMBER(ダッシュボード!D12),ダッシュボード!D12,1),"")</f>
        <v/>
      </c>
      <c r="O421" s="31" t="str">
        <f aca="false">IF(ISNUMBER(G421),G421*1+IF(ISNUMBER(H421),H421,0)*5+IF(ISNUMBER(J421),J421,0)*10+IF(ISNUMBER(K421),K421,0)*3,"")</f>
        <v/>
      </c>
      <c r="P421" s="27"/>
    </row>
    <row r="422" customFormat="false" ht="15" hidden="false" customHeight="true" outlineLevel="0" collapsed="false">
      <c r="A422" s="22" t="s">
        <v>151</v>
      </c>
      <c r="B422" s="23" t="s">
        <v>63</v>
      </c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4" t="str">
        <f aca="false">IF(AND(ISNUMBER(H422),ISNUMBER(G422),G422&gt;0),H422/G422,"")</f>
        <v/>
      </c>
      <c r="N422" s="25" t="str">
        <f aca="false">IF(AND(ISNUMBER(G422),G422&gt;0),G422/IF(ISNUMBER(ダッシュボード!D12),ダッシュボード!D12,1),"")</f>
        <v/>
      </c>
      <c r="O422" s="26" t="str">
        <f aca="false">IF(ISNUMBER(G422),G422*1+IF(ISNUMBER(H422),H422,0)*5+IF(ISNUMBER(J422),J422,0)*10+IF(ISNUMBER(K422),K422,0)*3,"")</f>
        <v/>
      </c>
      <c r="P422" s="22"/>
    </row>
    <row r="423" customFormat="false" ht="15" hidden="false" customHeight="true" outlineLevel="0" collapsed="false">
      <c r="A423" s="22" t="s">
        <v>151</v>
      </c>
      <c r="B423" s="23" t="s">
        <v>64</v>
      </c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4" t="str">
        <f aca="false">IF(AND(ISNUMBER(H423),ISNUMBER(G423),G423&gt;0),H423/G423,"")</f>
        <v/>
      </c>
      <c r="N423" s="25" t="str">
        <f aca="false">IF(AND(ISNUMBER(G423),G423&gt;0),G423/IF(ISNUMBER(ダッシュボード!D12),ダッシュボード!D12,1),"")</f>
        <v/>
      </c>
      <c r="O423" s="26" t="str">
        <f aca="false">IF(ISNUMBER(G423),G423*1+IF(ISNUMBER(H423),H423,0)*5+IF(ISNUMBER(J423),J423,0)*10+IF(ISNUMBER(K423),K423,0)*3,"")</f>
        <v/>
      </c>
      <c r="P423" s="22"/>
    </row>
    <row r="424" customFormat="false" ht="15" hidden="false" customHeight="true" outlineLevel="0" collapsed="false">
      <c r="A424" s="22" t="s">
        <v>151</v>
      </c>
      <c r="B424" s="23" t="s">
        <v>65</v>
      </c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4" t="str">
        <f aca="false">IF(AND(ISNUMBER(H424),ISNUMBER(G424),G424&gt;0),H424/G424,"")</f>
        <v/>
      </c>
      <c r="N424" s="25" t="str">
        <f aca="false">IF(AND(ISNUMBER(G424),G424&gt;0),G424/IF(ISNUMBER(ダッシュボード!D12),ダッシュボード!D12,1),"")</f>
        <v/>
      </c>
      <c r="O424" s="26" t="str">
        <f aca="false">IF(ISNUMBER(G424),G424*1+IF(ISNUMBER(H424),H424,0)*5+IF(ISNUMBER(J424),J424,0)*10+IF(ISNUMBER(K424),K424,0)*3,"")</f>
        <v/>
      </c>
      <c r="P424" s="22"/>
    </row>
    <row r="425" customFormat="false" ht="15" hidden="false" customHeight="true" outlineLevel="0" collapsed="false">
      <c r="A425" s="22" t="s">
        <v>151</v>
      </c>
      <c r="B425" s="23" t="s">
        <v>66</v>
      </c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4" t="str">
        <f aca="false">IF(AND(ISNUMBER(H425),ISNUMBER(G425),G425&gt;0),H425/G425,"")</f>
        <v/>
      </c>
      <c r="N425" s="25" t="str">
        <f aca="false">IF(AND(ISNUMBER(G425),G425&gt;0),G425/IF(ISNUMBER(ダッシュボード!D12),ダッシュボード!D12,1),"")</f>
        <v/>
      </c>
      <c r="O425" s="26" t="str">
        <f aca="false">IF(ISNUMBER(G425),G425*1+IF(ISNUMBER(H425),H425,0)*5+IF(ISNUMBER(J425),J425,0)*10+IF(ISNUMBER(K425),K425,0)*3,"")</f>
        <v/>
      </c>
      <c r="P425" s="22"/>
    </row>
    <row r="426" customFormat="false" ht="15" hidden="false" customHeight="true" outlineLevel="0" collapsed="false">
      <c r="A426" s="22" t="s">
        <v>151</v>
      </c>
      <c r="B426" s="23" t="s">
        <v>67</v>
      </c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4" t="str">
        <f aca="false">IF(AND(ISNUMBER(H426),ISNUMBER(G426),G426&gt;0),H426/G426,"")</f>
        <v/>
      </c>
      <c r="N426" s="25" t="str">
        <f aca="false">IF(AND(ISNUMBER(G426),G426&gt;0),G426/IF(ISNUMBER(ダッシュボード!D12),ダッシュボード!D12,1),"")</f>
        <v/>
      </c>
      <c r="O426" s="26" t="str">
        <f aca="false">IF(ISNUMBER(G426),G426*1+IF(ISNUMBER(H426),H426,0)*5+IF(ISNUMBER(J426),J426,0)*10+IF(ISNUMBER(K426),K426,0)*3,"")</f>
        <v/>
      </c>
      <c r="P426" s="22"/>
    </row>
    <row r="427" customFormat="false" ht="15" hidden="false" customHeight="true" outlineLevel="0" collapsed="false">
      <c r="A427" s="27" t="s">
        <v>152</v>
      </c>
      <c r="B427" s="28" t="s">
        <v>63</v>
      </c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9" t="str">
        <f aca="false">IF(AND(ISNUMBER(H427),ISNUMBER(G427),G427&gt;0),H427/G427,"")</f>
        <v/>
      </c>
      <c r="N427" s="30" t="str">
        <f aca="false">IF(AND(ISNUMBER(G427),G427&gt;0),G427/IF(ISNUMBER(ダッシュボード!D12),ダッシュボード!D12,1),"")</f>
        <v/>
      </c>
      <c r="O427" s="31" t="str">
        <f aca="false">IF(ISNUMBER(G427),G427*1+IF(ISNUMBER(H427),H427,0)*5+IF(ISNUMBER(J427),J427,0)*10+IF(ISNUMBER(K427),K427,0)*3,"")</f>
        <v/>
      </c>
      <c r="P427" s="27"/>
    </row>
    <row r="428" customFormat="false" ht="15" hidden="false" customHeight="true" outlineLevel="0" collapsed="false">
      <c r="A428" s="27" t="s">
        <v>152</v>
      </c>
      <c r="B428" s="28" t="s">
        <v>64</v>
      </c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9" t="str">
        <f aca="false">IF(AND(ISNUMBER(H428),ISNUMBER(G428),G428&gt;0),H428/G428,"")</f>
        <v/>
      </c>
      <c r="N428" s="30" t="str">
        <f aca="false">IF(AND(ISNUMBER(G428),G428&gt;0),G428/IF(ISNUMBER(ダッシュボード!D12),ダッシュボード!D12,1),"")</f>
        <v/>
      </c>
      <c r="O428" s="31" t="str">
        <f aca="false">IF(ISNUMBER(G428),G428*1+IF(ISNUMBER(H428),H428,0)*5+IF(ISNUMBER(J428),J428,0)*10+IF(ISNUMBER(K428),K428,0)*3,"")</f>
        <v/>
      </c>
      <c r="P428" s="27"/>
    </row>
    <row r="429" customFormat="false" ht="15" hidden="false" customHeight="true" outlineLevel="0" collapsed="false">
      <c r="A429" s="27" t="s">
        <v>152</v>
      </c>
      <c r="B429" s="28" t="s">
        <v>65</v>
      </c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9" t="str">
        <f aca="false">IF(AND(ISNUMBER(H429),ISNUMBER(G429),G429&gt;0),H429/G429,"")</f>
        <v/>
      </c>
      <c r="N429" s="30" t="str">
        <f aca="false">IF(AND(ISNUMBER(G429),G429&gt;0),G429/IF(ISNUMBER(ダッシュボード!D12),ダッシュボード!D12,1),"")</f>
        <v/>
      </c>
      <c r="O429" s="31" t="str">
        <f aca="false">IF(ISNUMBER(G429),G429*1+IF(ISNUMBER(H429),H429,0)*5+IF(ISNUMBER(J429),J429,0)*10+IF(ISNUMBER(K429),K429,0)*3,"")</f>
        <v/>
      </c>
      <c r="P429" s="27"/>
    </row>
    <row r="430" customFormat="false" ht="15" hidden="false" customHeight="true" outlineLevel="0" collapsed="false">
      <c r="A430" s="27" t="s">
        <v>152</v>
      </c>
      <c r="B430" s="28" t="s">
        <v>66</v>
      </c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9" t="str">
        <f aca="false">IF(AND(ISNUMBER(H430),ISNUMBER(G430),G430&gt;0),H430/G430,"")</f>
        <v/>
      </c>
      <c r="N430" s="30" t="str">
        <f aca="false">IF(AND(ISNUMBER(G430),G430&gt;0),G430/IF(ISNUMBER(ダッシュボード!D12),ダッシュボード!D12,1),"")</f>
        <v/>
      </c>
      <c r="O430" s="31" t="str">
        <f aca="false">IF(ISNUMBER(G430),G430*1+IF(ISNUMBER(H430),H430,0)*5+IF(ISNUMBER(J430),J430,0)*10+IF(ISNUMBER(K430),K430,0)*3,"")</f>
        <v/>
      </c>
      <c r="P430" s="27"/>
    </row>
    <row r="431" customFormat="false" ht="15" hidden="false" customHeight="true" outlineLevel="0" collapsed="false">
      <c r="A431" s="27" t="s">
        <v>152</v>
      </c>
      <c r="B431" s="28" t="s">
        <v>67</v>
      </c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9" t="str">
        <f aca="false">IF(AND(ISNUMBER(H431),ISNUMBER(G431),G431&gt;0),H431/G431,"")</f>
        <v/>
      </c>
      <c r="N431" s="30" t="str">
        <f aca="false">IF(AND(ISNUMBER(G431),G431&gt;0),G431/IF(ISNUMBER(ダッシュボード!D12),ダッシュボード!D12,1),"")</f>
        <v/>
      </c>
      <c r="O431" s="31" t="str">
        <f aca="false">IF(ISNUMBER(G431),G431*1+IF(ISNUMBER(H431),H431,0)*5+IF(ISNUMBER(J431),J431,0)*10+IF(ISNUMBER(K431),K431,0)*3,"")</f>
        <v/>
      </c>
      <c r="P431" s="27"/>
    </row>
    <row r="432" customFormat="false" ht="15" hidden="false" customHeight="true" outlineLevel="0" collapsed="false">
      <c r="A432" s="22" t="s">
        <v>153</v>
      </c>
      <c r="B432" s="23" t="s">
        <v>63</v>
      </c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4" t="str">
        <f aca="false">IF(AND(ISNUMBER(H432),ISNUMBER(G432),G432&gt;0),H432/G432,"")</f>
        <v/>
      </c>
      <c r="N432" s="25" t="str">
        <f aca="false">IF(AND(ISNUMBER(G432),G432&gt;0),G432/IF(ISNUMBER(ダッシュボード!D12),ダッシュボード!D12,1),"")</f>
        <v/>
      </c>
      <c r="O432" s="26" t="str">
        <f aca="false">IF(ISNUMBER(G432),G432*1+IF(ISNUMBER(H432),H432,0)*5+IF(ISNUMBER(J432),J432,0)*10+IF(ISNUMBER(K432),K432,0)*3,"")</f>
        <v/>
      </c>
      <c r="P432" s="22"/>
    </row>
    <row r="433" customFormat="false" ht="15" hidden="false" customHeight="true" outlineLevel="0" collapsed="false">
      <c r="A433" s="22" t="s">
        <v>153</v>
      </c>
      <c r="B433" s="23" t="s">
        <v>64</v>
      </c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4" t="str">
        <f aca="false">IF(AND(ISNUMBER(H433),ISNUMBER(G433),G433&gt;0),H433/G433,"")</f>
        <v/>
      </c>
      <c r="N433" s="25" t="str">
        <f aca="false">IF(AND(ISNUMBER(G433),G433&gt;0),G433/IF(ISNUMBER(ダッシュボード!D12),ダッシュボード!D12,1),"")</f>
        <v/>
      </c>
      <c r="O433" s="26" t="str">
        <f aca="false">IF(ISNUMBER(G433),G433*1+IF(ISNUMBER(H433),H433,0)*5+IF(ISNUMBER(J433),J433,0)*10+IF(ISNUMBER(K433),K433,0)*3,"")</f>
        <v/>
      </c>
      <c r="P433" s="22"/>
    </row>
    <row r="434" customFormat="false" ht="15" hidden="false" customHeight="true" outlineLevel="0" collapsed="false">
      <c r="A434" s="22" t="s">
        <v>153</v>
      </c>
      <c r="B434" s="23" t="s">
        <v>65</v>
      </c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4" t="str">
        <f aca="false">IF(AND(ISNUMBER(H434),ISNUMBER(G434),G434&gt;0),H434/G434,"")</f>
        <v/>
      </c>
      <c r="N434" s="25" t="str">
        <f aca="false">IF(AND(ISNUMBER(G434),G434&gt;0),G434/IF(ISNUMBER(ダッシュボード!D12),ダッシュボード!D12,1),"")</f>
        <v/>
      </c>
      <c r="O434" s="26" t="str">
        <f aca="false">IF(ISNUMBER(G434),G434*1+IF(ISNUMBER(H434),H434,0)*5+IF(ISNUMBER(J434),J434,0)*10+IF(ISNUMBER(K434),K434,0)*3,"")</f>
        <v/>
      </c>
      <c r="P434" s="22"/>
    </row>
    <row r="435" customFormat="false" ht="15" hidden="false" customHeight="true" outlineLevel="0" collapsed="false">
      <c r="A435" s="22" t="s">
        <v>153</v>
      </c>
      <c r="B435" s="23" t="s">
        <v>66</v>
      </c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4" t="str">
        <f aca="false">IF(AND(ISNUMBER(H435),ISNUMBER(G435),G435&gt;0),H435/G435,"")</f>
        <v/>
      </c>
      <c r="N435" s="25" t="str">
        <f aca="false">IF(AND(ISNUMBER(G435),G435&gt;0),G435/IF(ISNUMBER(ダッシュボード!D12),ダッシュボード!D12,1),"")</f>
        <v/>
      </c>
      <c r="O435" s="26" t="str">
        <f aca="false">IF(ISNUMBER(G435),G435*1+IF(ISNUMBER(H435),H435,0)*5+IF(ISNUMBER(J435),J435,0)*10+IF(ISNUMBER(K435),K435,0)*3,"")</f>
        <v/>
      </c>
      <c r="P435" s="22"/>
    </row>
    <row r="436" customFormat="false" ht="15" hidden="false" customHeight="true" outlineLevel="0" collapsed="false">
      <c r="A436" s="22" t="s">
        <v>153</v>
      </c>
      <c r="B436" s="23" t="s">
        <v>67</v>
      </c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4" t="str">
        <f aca="false">IF(AND(ISNUMBER(H436),ISNUMBER(G436),G436&gt;0),H436/G436,"")</f>
        <v/>
      </c>
      <c r="N436" s="25" t="str">
        <f aca="false">IF(AND(ISNUMBER(G436),G436&gt;0),G436/IF(ISNUMBER(ダッシュボード!D12),ダッシュボード!D12,1),"")</f>
        <v/>
      </c>
      <c r="O436" s="26" t="str">
        <f aca="false">IF(ISNUMBER(G436),G436*1+IF(ISNUMBER(H436),H436,0)*5+IF(ISNUMBER(J436),J436,0)*10+IF(ISNUMBER(K436),K436,0)*3,"")</f>
        <v/>
      </c>
      <c r="P436" s="22"/>
    </row>
    <row r="437" customFormat="false" ht="15" hidden="false" customHeight="true" outlineLevel="0" collapsed="false">
      <c r="A437" s="27" t="s">
        <v>154</v>
      </c>
      <c r="B437" s="28" t="s">
        <v>63</v>
      </c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9" t="str">
        <f aca="false">IF(AND(ISNUMBER(H437),ISNUMBER(G437),G437&gt;0),H437/G437,"")</f>
        <v/>
      </c>
      <c r="N437" s="30" t="str">
        <f aca="false">IF(AND(ISNUMBER(G437),G437&gt;0),G437/IF(ISNUMBER(ダッシュボード!D12),ダッシュボード!D12,1),"")</f>
        <v/>
      </c>
      <c r="O437" s="31" t="str">
        <f aca="false">IF(ISNUMBER(G437),G437*1+IF(ISNUMBER(H437),H437,0)*5+IF(ISNUMBER(J437),J437,0)*10+IF(ISNUMBER(K437),K437,0)*3,"")</f>
        <v/>
      </c>
      <c r="P437" s="27"/>
    </row>
    <row r="438" customFormat="false" ht="15" hidden="false" customHeight="true" outlineLevel="0" collapsed="false">
      <c r="A438" s="27" t="s">
        <v>154</v>
      </c>
      <c r="B438" s="28" t="s">
        <v>64</v>
      </c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9" t="str">
        <f aca="false">IF(AND(ISNUMBER(H438),ISNUMBER(G438),G438&gt;0),H438/G438,"")</f>
        <v/>
      </c>
      <c r="N438" s="30" t="str">
        <f aca="false">IF(AND(ISNUMBER(G438),G438&gt;0),G438/IF(ISNUMBER(ダッシュボード!D12),ダッシュボード!D12,1),"")</f>
        <v/>
      </c>
      <c r="O438" s="31" t="str">
        <f aca="false">IF(ISNUMBER(G438),G438*1+IF(ISNUMBER(H438),H438,0)*5+IF(ISNUMBER(J438),J438,0)*10+IF(ISNUMBER(K438),K438,0)*3,"")</f>
        <v/>
      </c>
      <c r="P438" s="27"/>
    </row>
    <row r="439" customFormat="false" ht="15" hidden="false" customHeight="true" outlineLevel="0" collapsed="false">
      <c r="A439" s="27" t="s">
        <v>154</v>
      </c>
      <c r="B439" s="28" t="s">
        <v>65</v>
      </c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9" t="str">
        <f aca="false">IF(AND(ISNUMBER(H439),ISNUMBER(G439),G439&gt;0),H439/G439,"")</f>
        <v/>
      </c>
      <c r="N439" s="30" t="str">
        <f aca="false">IF(AND(ISNUMBER(G439),G439&gt;0),G439/IF(ISNUMBER(ダッシュボード!D12),ダッシュボード!D12,1),"")</f>
        <v/>
      </c>
      <c r="O439" s="31" t="str">
        <f aca="false">IF(ISNUMBER(G439),G439*1+IF(ISNUMBER(H439),H439,0)*5+IF(ISNUMBER(J439),J439,0)*10+IF(ISNUMBER(K439),K439,0)*3,"")</f>
        <v/>
      </c>
      <c r="P439" s="27"/>
    </row>
    <row r="440" customFormat="false" ht="15" hidden="false" customHeight="true" outlineLevel="0" collapsed="false">
      <c r="A440" s="27" t="s">
        <v>154</v>
      </c>
      <c r="B440" s="28" t="s">
        <v>66</v>
      </c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9" t="str">
        <f aca="false">IF(AND(ISNUMBER(H440),ISNUMBER(G440),G440&gt;0),H440/G440,"")</f>
        <v/>
      </c>
      <c r="N440" s="30" t="str">
        <f aca="false">IF(AND(ISNUMBER(G440),G440&gt;0),G440/IF(ISNUMBER(ダッシュボード!D12),ダッシュボード!D12,1),"")</f>
        <v/>
      </c>
      <c r="O440" s="31" t="str">
        <f aca="false">IF(ISNUMBER(G440),G440*1+IF(ISNUMBER(H440),H440,0)*5+IF(ISNUMBER(J440),J440,0)*10+IF(ISNUMBER(K440),K440,0)*3,"")</f>
        <v/>
      </c>
      <c r="P440" s="27"/>
    </row>
    <row r="441" customFormat="false" ht="15" hidden="false" customHeight="true" outlineLevel="0" collapsed="false">
      <c r="A441" s="27" t="s">
        <v>154</v>
      </c>
      <c r="B441" s="28" t="s">
        <v>67</v>
      </c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9" t="str">
        <f aca="false">IF(AND(ISNUMBER(H441),ISNUMBER(G441),G441&gt;0),H441/G441,"")</f>
        <v/>
      </c>
      <c r="N441" s="30" t="str">
        <f aca="false">IF(AND(ISNUMBER(G441),G441&gt;0),G441/IF(ISNUMBER(ダッシュボード!D12),ダッシュボード!D12,1),"")</f>
        <v/>
      </c>
      <c r="O441" s="31" t="str">
        <f aca="false">IF(ISNUMBER(G441),G441*1+IF(ISNUMBER(H441),H441,0)*5+IF(ISNUMBER(J441),J441,0)*10+IF(ISNUMBER(K441),K441,0)*3,"")</f>
        <v/>
      </c>
      <c r="P441" s="27"/>
    </row>
    <row r="442" customFormat="false" ht="15" hidden="false" customHeight="true" outlineLevel="0" collapsed="false">
      <c r="A442" s="22" t="s">
        <v>155</v>
      </c>
      <c r="B442" s="23" t="s">
        <v>63</v>
      </c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4" t="str">
        <f aca="false">IF(AND(ISNUMBER(H442),ISNUMBER(G442),G442&gt;0),H442/G442,"")</f>
        <v/>
      </c>
      <c r="N442" s="25" t="str">
        <f aca="false">IF(AND(ISNUMBER(G442),G442&gt;0),G442/IF(ISNUMBER(ダッシュボード!D12),ダッシュボード!D12,1),"")</f>
        <v/>
      </c>
      <c r="O442" s="26" t="str">
        <f aca="false">IF(ISNUMBER(G442),G442*1+IF(ISNUMBER(H442),H442,0)*5+IF(ISNUMBER(J442),J442,0)*10+IF(ISNUMBER(K442),K442,0)*3,"")</f>
        <v/>
      </c>
      <c r="P442" s="22"/>
    </row>
    <row r="443" customFormat="false" ht="15" hidden="false" customHeight="true" outlineLevel="0" collapsed="false">
      <c r="A443" s="22" t="s">
        <v>155</v>
      </c>
      <c r="B443" s="23" t="s">
        <v>64</v>
      </c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4" t="str">
        <f aca="false">IF(AND(ISNUMBER(H443),ISNUMBER(G443),G443&gt;0),H443/G443,"")</f>
        <v/>
      </c>
      <c r="N443" s="25" t="str">
        <f aca="false">IF(AND(ISNUMBER(G443),G443&gt;0),G443/IF(ISNUMBER(ダッシュボード!D12),ダッシュボード!D12,1),"")</f>
        <v/>
      </c>
      <c r="O443" s="26" t="str">
        <f aca="false">IF(ISNUMBER(G443),G443*1+IF(ISNUMBER(H443),H443,0)*5+IF(ISNUMBER(J443),J443,0)*10+IF(ISNUMBER(K443),K443,0)*3,"")</f>
        <v/>
      </c>
      <c r="P443" s="22"/>
    </row>
    <row r="444" customFormat="false" ht="15" hidden="false" customHeight="true" outlineLevel="0" collapsed="false">
      <c r="A444" s="22" t="s">
        <v>155</v>
      </c>
      <c r="B444" s="23" t="s">
        <v>65</v>
      </c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4" t="str">
        <f aca="false">IF(AND(ISNUMBER(H444),ISNUMBER(G444),G444&gt;0),H444/G444,"")</f>
        <v/>
      </c>
      <c r="N444" s="25" t="str">
        <f aca="false">IF(AND(ISNUMBER(G444),G444&gt;0),G444/IF(ISNUMBER(ダッシュボード!D12),ダッシュボード!D12,1),"")</f>
        <v/>
      </c>
      <c r="O444" s="26" t="str">
        <f aca="false">IF(ISNUMBER(G444),G444*1+IF(ISNUMBER(H444),H444,0)*5+IF(ISNUMBER(J444),J444,0)*10+IF(ISNUMBER(K444),K444,0)*3,"")</f>
        <v/>
      </c>
      <c r="P444" s="22"/>
    </row>
    <row r="445" customFormat="false" ht="15" hidden="false" customHeight="true" outlineLevel="0" collapsed="false">
      <c r="A445" s="22" t="s">
        <v>155</v>
      </c>
      <c r="B445" s="23" t="s">
        <v>66</v>
      </c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4" t="str">
        <f aca="false">IF(AND(ISNUMBER(H445),ISNUMBER(G445),G445&gt;0),H445/G445,"")</f>
        <v/>
      </c>
      <c r="N445" s="25" t="str">
        <f aca="false">IF(AND(ISNUMBER(G445),G445&gt;0),G445/IF(ISNUMBER(ダッシュボード!D12),ダッシュボード!D12,1),"")</f>
        <v/>
      </c>
      <c r="O445" s="26" t="str">
        <f aca="false">IF(ISNUMBER(G445),G445*1+IF(ISNUMBER(H445),H445,0)*5+IF(ISNUMBER(J445),J445,0)*10+IF(ISNUMBER(K445),K445,0)*3,"")</f>
        <v/>
      </c>
      <c r="P445" s="22"/>
    </row>
    <row r="446" customFormat="false" ht="15" hidden="false" customHeight="true" outlineLevel="0" collapsed="false">
      <c r="A446" s="22" t="s">
        <v>155</v>
      </c>
      <c r="B446" s="23" t="s">
        <v>67</v>
      </c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4" t="str">
        <f aca="false">IF(AND(ISNUMBER(H446),ISNUMBER(G446),G446&gt;0),H446/G446,"")</f>
        <v/>
      </c>
      <c r="N446" s="25" t="str">
        <f aca="false">IF(AND(ISNUMBER(G446),G446&gt;0),G446/IF(ISNUMBER(ダッシュボード!D12),ダッシュボード!D12,1),"")</f>
        <v/>
      </c>
      <c r="O446" s="26" t="str">
        <f aca="false">IF(ISNUMBER(G446),G446*1+IF(ISNUMBER(H446),H446,0)*5+IF(ISNUMBER(J446),J446,0)*10+IF(ISNUMBER(K446),K446,0)*3,"")</f>
        <v/>
      </c>
      <c r="P446" s="22"/>
    </row>
    <row r="447" customFormat="false" ht="15" hidden="false" customHeight="true" outlineLevel="0" collapsed="false">
      <c r="A447" s="27" t="s">
        <v>156</v>
      </c>
      <c r="B447" s="28" t="s">
        <v>63</v>
      </c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9" t="str">
        <f aca="false">IF(AND(ISNUMBER(H447),ISNUMBER(G447),G447&gt;0),H447/G447,"")</f>
        <v/>
      </c>
      <c r="N447" s="30" t="str">
        <f aca="false">IF(AND(ISNUMBER(G447),G447&gt;0),G447/IF(ISNUMBER(ダッシュボード!D12),ダッシュボード!D12,1),"")</f>
        <v/>
      </c>
      <c r="O447" s="31" t="str">
        <f aca="false">IF(ISNUMBER(G447),G447*1+IF(ISNUMBER(H447),H447,0)*5+IF(ISNUMBER(J447),J447,0)*10+IF(ISNUMBER(K447),K447,0)*3,"")</f>
        <v/>
      </c>
      <c r="P447" s="27"/>
    </row>
    <row r="448" customFormat="false" ht="15" hidden="false" customHeight="true" outlineLevel="0" collapsed="false">
      <c r="A448" s="27" t="s">
        <v>156</v>
      </c>
      <c r="B448" s="28" t="s">
        <v>64</v>
      </c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9" t="str">
        <f aca="false">IF(AND(ISNUMBER(H448),ISNUMBER(G448),G448&gt;0),H448/G448,"")</f>
        <v/>
      </c>
      <c r="N448" s="30" t="str">
        <f aca="false">IF(AND(ISNUMBER(G448),G448&gt;0),G448/IF(ISNUMBER(ダッシュボード!D12),ダッシュボード!D12,1),"")</f>
        <v/>
      </c>
      <c r="O448" s="31" t="str">
        <f aca="false">IF(ISNUMBER(G448),G448*1+IF(ISNUMBER(H448),H448,0)*5+IF(ISNUMBER(J448),J448,0)*10+IF(ISNUMBER(K448),K448,0)*3,"")</f>
        <v/>
      </c>
      <c r="P448" s="27"/>
    </row>
    <row r="449" customFormat="false" ht="15" hidden="false" customHeight="true" outlineLevel="0" collapsed="false">
      <c r="A449" s="27" t="s">
        <v>156</v>
      </c>
      <c r="B449" s="28" t="s">
        <v>65</v>
      </c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9" t="str">
        <f aca="false">IF(AND(ISNUMBER(H449),ISNUMBER(G449),G449&gt;0),H449/G449,"")</f>
        <v/>
      </c>
      <c r="N449" s="30" t="str">
        <f aca="false">IF(AND(ISNUMBER(G449),G449&gt;0),G449/IF(ISNUMBER(ダッシュボード!D12),ダッシュボード!D12,1),"")</f>
        <v/>
      </c>
      <c r="O449" s="31" t="str">
        <f aca="false">IF(ISNUMBER(G449),G449*1+IF(ISNUMBER(H449),H449,0)*5+IF(ISNUMBER(J449),J449,0)*10+IF(ISNUMBER(K449),K449,0)*3,"")</f>
        <v/>
      </c>
      <c r="P449" s="27"/>
    </row>
    <row r="450" customFormat="false" ht="15" hidden="false" customHeight="true" outlineLevel="0" collapsed="false">
      <c r="A450" s="27" t="s">
        <v>156</v>
      </c>
      <c r="B450" s="28" t="s">
        <v>66</v>
      </c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9" t="str">
        <f aca="false">IF(AND(ISNUMBER(H450),ISNUMBER(G450),G450&gt;0),H450/G450,"")</f>
        <v/>
      </c>
      <c r="N450" s="30" t="str">
        <f aca="false">IF(AND(ISNUMBER(G450),G450&gt;0),G450/IF(ISNUMBER(ダッシュボード!D12),ダッシュボード!D12,1),"")</f>
        <v/>
      </c>
      <c r="O450" s="31" t="str">
        <f aca="false">IF(ISNUMBER(G450),G450*1+IF(ISNUMBER(H450),H450,0)*5+IF(ISNUMBER(J450),J450,0)*10+IF(ISNUMBER(K450),K450,0)*3,"")</f>
        <v/>
      </c>
      <c r="P450" s="27"/>
    </row>
    <row r="451" customFormat="false" ht="15" hidden="false" customHeight="true" outlineLevel="0" collapsed="false">
      <c r="A451" s="27" t="s">
        <v>156</v>
      </c>
      <c r="B451" s="28" t="s">
        <v>67</v>
      </c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9" t="str">
        <f aca="false">IF(AND(ISNUMBER(H451),ISNUMBER(G451),G451&gt;0),H451/G451,"")</f>
        <v/>
      </c>
      <c r="N451" s="30" t="str">
        <f aca="false">IF(AND(ISNUMBER(G451),G451&gt;0),G451/IF(ISNUMBER(ダッシュボード!D12),ダッシュボード!D12,1),"")</f>
        <v/>
      </c>
      <c r="O451" s="31" t="str">
        <f aca="false">IF(ISNUMBER(G451),G451*1+IF(ISNUMBER(H451),H451,0)*5+IF(ISNUMBER(J451),J451,0)*10+IF(ISNUMBER(K451),K451,0)*3,"")</f>
        <v/>
      </c>
      <c r="P451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5" min="3" style="1" width="14"/>
    <col collapsed="false" customWidth="true" hidden="false" outlineLevel="0" max="7" min="6" style="1" width="20"/>
    <col collapsed="false" customWidth="true" hidden="false" outlineLevel="0" max="8" min="8" style="1" width="18"/>
  </cols>
  <sheetData>
    <row r="1" customFormat="false" ht="17.25" hidden="false" customHeight="true" outlineLevel="0" collapsed="false">
      <c r="A1" s="32" t="s">
        <v>157</v>
      </c>
      <c r="B1" s="32"/>
      <c r="C1" s="32"/>
      <c r="D1" s="32"/>
      <c r="E1" s="32"/>
      <c r="F1" s="32"/>
      <c r="G1" s="32"/>
      <c r="H1" s="32"/>
    </row>
    <row r="3" customFormat="false" ht="15" hidden="false" customHeight="true" outlineLevel="0" collapsed="false">
      <c r="A3" s="20" t="s">
        <v>49</v>
      </c>
      <c r="B3" s="20" t="s">
        <v>158</v>
      </c>
      <c r="C3" s="20" t="s">
        <v>159</v>
      </c>
      <c r="D3" s="20" t="s">
        <v>160</v>
      </c>
      <c r="E3" s="20" t="s">
        <v>161</v>
      </c>
      <c r="F3" s="20" t="s">
        <v>162</v>
      </c>
      <c r="G3" s="20" t="s">
        <v>163</v>
      </c>
      <c r="H3" s="20" t="s">
        <v>164</v>
      </c>
    </row>
    <row r="4" customFormat="false" ht="27.75" hidden="false" customHeight="true" outlineLevel="0" collapsed="false">
      <c r="A4" s="15" t="s">
        <v>165</v>
      </c>
      <c r="B4" s="19" t="n">
        <f aca="false">COUNTIF(X投稿ログ!C:C,A4)</f>
        <v>0</v>
      </c>
      <c r="C4" s="16" t="n">
        <f aca="false">IFERROR(AVERAGEIF(X投稿ログ!C:C,A4,X投稿ログ!G:G),0)</f>
        <v>0</v>
      </c>
      <c r="D4" s="18" t="n">
        <f aca="false">IFERROR(AVERAGEIF(X投稿ログ!C:C,A4,X投稿ログ!M:M),0)</f>
        <v>0</v>
      </c>
      <c r="E4" s="16" t="n">
        <f aca="false">IFERROR(AVERAGEIF(X投稿ログ!C:C,A4,X投稿ログ!O:O),0)</f>
        <v>0</v>
      </c>
      <c r="F4" s="19" t="s">
        <v>166</v>
      </c>
      <c r="G4" s="19" t="s">
        <v>166</v>
      </c>
      <c r="H4" s="19"/>
    </row>
    <row r="5" customFormat="false" ht="27.75" hidden="false" customHeight="true" outlineLevel="0" collapsed="false">
      <c r="A5" s="15" t="s">
        <v>167</v>
      </c>
      <c r="B5" s="19" t="n">
        <f aca="false">COUNTIF(X投稿ログ!C:C,A5)</f>
        <v>0</v>
      </c>
      <c r="C5" s="16" t="n">
        <f aca="false">IFERROR(AVERAGEIF(X投稿ログ!C:C,A5,X投稿ログ!G:G),0)</f>
        <v>0</v>
      </c>
      <c r="D5" s="18" t="n">
        <f aca="false">IFERROR(AVERAGEIF(X投稿ログ!C:C,A5,X投稿ログ!M:M),0)</f>
        <v>0</v>
      </c>
      <c r="E5" s="16" t="n">
        <f aca="false">IFERROR(AVERAGEIF(X投稿ログ!C:C,A5,X投稿ログ!O:O),0)</f>
        <v>0</v>
      </c>
      <c r="F5" s="19" t="s">
        <v>166</v>
      </c>
      <c r="G5" s="19" t="s">
        <v>166</v>
      </c>
      <c r="H5" s="19"/>
    </row>
    <row r="6" customFormat="false" ht="27.75" hidden="false" customHeight="true" outlineLevel="0" collapsed="false">
      <c r="A6" s="15" t="s">
        <v>168</v>
      </c>
      <c r="B6" s="19" t="n">
        <f aca="false">COUNTIF(X投稿ログ!C:C,A6)</f>
        <v>0</v>
      </c>
      <c r="C6" s="16" t="n">
        <f aca="false">IFERROR(AVERAGEIF(X投稿ログ!C:C,A6,X投稿ログ!G:G),0)</f>
        <v>0</v>
      </c>
      <c r="D6" s="18" t="n">
        <f aca="false">IFERROR(AVERAGEIF(X投稿ログ!C:C,A6,X投稿ログ!M:M),0)</f>
        <v>0</v>
      </c>
      <c r="E6" s="16" t="n">
        <f aca="false">IFERROR(AVERAGEIF(X投稿ログ!C:C,A6,X投稿ログ!O:O),0)</f>
        <v>0</v>
      </c>
      <c r="F6" s="19" t="s">
        <v>166</v>
      </c>
      <c r="G6" s="19" t="s">
        <v>166</v>
      </c>
      <c r="H6" s="19"/>
    </row>
    <row r="7" customFormat="false" ht="27.75" hidden="false" customHeight="true" outlineLevel="0" collapsed="false">
      <c r="A7" s="15" t="s">
        <v>169</v>
      </c>
      <c r="B7" s="19" t="n">
        <f aca="false">COUNTIF(X投稿ログ!C:C,A7)</f>
        <v>0</v>
      </c>
      <c r="C7" s="16" t="n">
        <f aca="false">IFERROR(AVERAGEIF(X投稿ログ!C:C,A7,X投稿ログ!G:G),0)</f>
        <v>0</v>
      </c>
      <c r="D7" s="18" t="n">
        <f aca="false">IFERROR(AVERAGEIF(X投稿ログ!C:C,A7,X投稿ログ!M:M),0)</f>
        <v>0</v>
      </c>
      <c r="E7" s="16" t="n">
        <f aca="false">IFERROR(AVERAGEIF(X投稿ログ!C:C,A7,X投稿ログ!O:O),0)</f>
        <v>0</v>
      </c>
      <c r="F7" s="19" t="s">
        <v>166</v>
      </c>
      <c r="G7" s="19" t="s">
        <v>166</v>
      </c>
      <c r="H7" s="19"/>
    </row>
    <row r="8" customFormat="false" ht="27.75" hidden="false" customHeight="true" outlineLevel="0" collapsed="false">
      <c r="A8" s="15" t="s">
        <v>170</v>
      </c>
      <c r="B8" s="19" t="n">
        <f aca="false">COUNTIF(X投稿ログ!C:C,A8)</f>
        <v>0</v>
      </c>
      <c r="C8" s="16" t="n">
        <f aca="false">IFERROR(AVERAGEIF(X投稿ログ!C:C,A8,X投稿ログ!G:G),0)</f>
        <v>0</v>
      </c>
      <c r="D8" s="18" t="n">
        <f aca="false">IFERROR(AVERAGEIF(X投稿ログ!C:C,A8,X投稿ログ!M:M),0)</f>
        <v>0</v>
      </c>
      <c r="E8" s="16" t="n">
        <f aca="false">IFERROR(AVERAGEIF(X投稿ログ!C:C,A8,X投稿ログ!O:O),0)</f>
        <v>0</v>
      </c>
      <c r="F8" s="19" t="s">
        <v>166</v>
      </c>
      <c r="G8" s="19" t="s">
        <v>166</v>
      </c>
      <c r="H8" s="19"/>
    </row>
    <row r="11" customFormat="false" ht="17.25" hidden="false" customHeight="true" outlineLevel="0" collapsed="false">
      <c r="A11" s="32" t="s">
        <v>171</v>
      </c>
      <c r="B11" s="32"/>
      <c r="C11" s="32"/>
      <c r="D11" s="32"/>
      <c r="E11" s="32"/>
      <c r="F11" s="32"/>
    </row>
    <row r="13" customFormat="false" ht="15" hidden="false" customHeight="true" outlineLevel="0" collapsed="false">
      <c r="A13" s="20" t="s">
        <v>48</v>
      </c>
      <c r="B13" s="20" t="s">
        <v>158</v>
      </c>
      <c r="C13" s="20" t="s">
        <v>159</v>
      </c>
      <c r="D13" s="20" t="s">
        <v>160</v>
      </c>
      <c r="E13" s="20" t="s">
        <v>161</v>
      </c>
      <c r="F13" s="20" t="s">
        <v>172</v>
      </c>
    </row>
    <row r="14" customFormat="false" ht="15" hidden="false" customHeight="true" outlineLevel="0" collapsed="false">
      <c r="A14" s="15" t="s">
        <v>173</v>
      </c>
      <c r="B14" s="19" t="n">
        <f aca="false">COUNTIF(X投稿ログ!B:B,A14)</f>
        <v>90</v>
      </c>
      <c r="C14" s="16" t="n">
        <f aca="false">IFERROR(AVERAGEIF(X投稿ログ!B:B,A14,X投稿ログ!G:G),0)</f>
        <v>0</v>
      </c>
      <c r="D14" s="18" t="n">
        <f aca="false">IFERROR(AVERAGEIF(X投稿ログ!B:B,A14,X投稿ログ!M:M),0)</f>
        <v>0</v>
      </c>
      <c r="E14" s="16" t="n">
        <f aca="false">IFERROR(AVERAGEIF(X投稿ログ!B:B,A14,X投稿ログ!O:O),0)</f>
        <v>0</v>
      </c>
      <c r="F14" s="19" t="str">
        <f aca="false">IF(C14=0,"",IF(C14&gt;=AVERAGE($C$14:$C$18),"★ 好調","要改善"))</f>
        <v/>
      </c>
    </row>
    <row r="15" customFormat="false" ht="15" hidden="false" customHeight="true" outlineLevel="0" collapsed="false">
      <c r="A15" s="15" t="s">
        <v>174</v>
      </c>
      <c r="B15" s="19" t="n">
        <f aca="false">COUNTIF(X投稿ログ!B:B,A15)</f>
        <v>90</v>
      </c>
      <c r="C15" s="16" t="n">
        <f aca="false">IFERROR(AVERAGEIF(X投稿ログ!B:B,A15,X投稿ログ!G:G),0)</f>
        <v>0</v>
      </c>
      <c r="D15" s="18" t="n">
        <f aca="false">IFERROR(AVERAGEIF(X投稿ログ!B:B,A15,X投稿ログ!M:M),0)</f>
        <v>0</v>
      </c>
      <c r="E15" s="16" t="n">
        <f aca="false">IFERROR(AVERAGEIF(X投稿ログ!B:B,A15,X投稿ログ!O:O),0)</f>
        <v>0</v>
      </c>
      <c r="F15" s="19" t="str">
        <f aca="false">IF(C15=0,"",IF(C15&gt;=AVERAGE($C$14:$C$18),"★ 好調","要改善"))</f>
        <v/>
      </c>
    </row>
    <row r="16" customFormat="false" ht="15" hidden="false" customHeight="true" outlineLevel="0" collapsed="false">
      <c r="A16" s="15" t="s">
        <v>175</v>
      </c>
      <c r="B16" s="19" t="n">
        <f aca="false">COUNTIF(X投稿ログ!B:B,A16)</f>
        <v>90</v>
      </c>
      <c r="C16" s="16" t="n">
        <f aca="false">IFERROR(AVERAGEIF(X投稿ログ!B:B,A16,X投稿ログ!G:G),0)</f>
        <v>0</v>
      </c>
      <c r="D16" s="18" t="n">
        <f aca="false">IFERROR(AVERAGEIF(X投稿ログ!B:B,A16,X投稿ログ!M:M),0)</f>
        <v>0</v>
      </c>
      <c r="E16" s="16" t="n">
        <f aca="false">IFERROR(AVERAGEIF(X投稿ログ!B:B,A16,X投稿ログ!O:O),0)</f>
        <v>0</v>
      </c>
      <c r="F16" s="19" t="str">
        <f aca="false">IF(C16=0,"",IF(C16&gt;=AVERAGE($C$14:$C$18),"★ 好調","要改善"))</f>
        <v/>
      </c>
    </row>
    <row r="17" customFormat="false" ht="15" hidden="false" customHeight="true" outlineLevel="0" collapsed="false">
      <c r="A17" s="15" t="s">
        <v>176</v>
      </c>
      <c r="B17" s="19" t="n">
        <f aca="false">COUNTIF(X投稿ログ!B:B,A17)</f>
        <v>90</v>
      </c>
      <c r="C17" s="16" t="n">
        <f aca="false">IFERROR(AVERAGEIF(X投稿ログ!B:B,A17,X投稿ログ!G:G),0)</f>
        <v>0</v>
      </c>
      <c r="D17" s="18" t="n">
        <f aca="false">IFERROR(AVERAGEIF(X投稿ログ!B:B,A17,X投稿ログ!M:M),0)</f>
        <v>0</v>
      </c>
      <c r="E17" s="16" t="n">
        <f aca="false">IFERROR(AVERAGEIF(X投稿ログ!B:B,A17,X投稿ログ!O:O),0)</f>
        <v>0</v>
      </c>
      <c r="F17" s="19" t="str">
        <f aca="false">IF(C17=0,"",IF(C17&gt;=AVERAGE($C$14:$C$18),"★ 好調","要改善"))</f>
        <v/>
      </c>
    </row>
    <row r="18" customFormat="false" ht="15" hidden="false" customHeight="true" outlineLevel="0" collapsed="false">
      <c r="A18" s="15" t="s">
        <v>177</v>
      </c>
      <c r="B18" s="19" t="n">
        <f aca="false">COUNTIF(X投稿ログ!B:B,A18)</f>
        <v>90</v>
      </c>
      <c r="C18" s="16" t="n">
        <f aca="false">IFERROR(AVERAGEIF(X投稿ログ!B:B,A18,X投稿ログ!G:G),0)</f>
        <v>0</v>
      </c>
      <c r="D18" s="18" t="n">
        <f aca="false">IFERROR(AVERAGEIF(X投稿ログ!B:B,A18,X投稿ログ!M:M),0)</f>
        <v>0</v>
      </c>
      <c r="E18" s="16" t="n">
        <f aca="false">IFERROR(AVERAGEIF(X投稿ログ!B:B,A18,X投稿ログ!O:O),0)</f>
        <v>0</v>
      </c>
      <c r="F18" s="19" t="str">
        <f aca="false">IF(C18=0,"",IF(C18&gt;=AVERAGE($C$14:$C$18),"★ 好調","要改善"))</f>
        <v/>
      </c>
    </row>
    <row r="21" customFormat="false" ht="17.25" hidden="false" customHeight="true" outlineLevel="0" collapsed="false">
      <c r="A21" s="32" t="s">
        <v>178</v>
      </c>
      <c r="B21" s="32"/>
      <c r="C21" s="32"/>
      <c r="D21" s="32"/>
      <c r="E21" s="32"/>
    </row>
    <row r="23" customFormat="false" ht="15" hidden="false" customHeight="true" outlineLevel="0" collapsed="false">
      <c r="A23" s="20" t="s">
        <v>179</v>
      </c>
      <c r="B23" s="20" t="s">
        <v>158</v>
      </c>
      <c r="C23" s="20" t="s">
        <v>159</v>
      </c>
      <c r="D23" s="20" t="s">
        <v>160</v>
      </c>
      <c r="E23" s="20" t="s">
        <v>161</v>
      </c>
    </row>
    <row r="24" customFormat="false" ht="15" hidden="false" customHeight="true" outlineLevel="0" collapsed="false">
      <c r="A24" s="15" t="s">
        <v>180</v>
      </c>
      <c r="B24" s="19" t="n">
        <f aca="false">COUNTIF(X投稿ログ!E:E,"○")</f>
        <v>0</v>
      </c>
      <c r="C24" s="16" t="n">
        <f aca="false">IFERROR(AVERAGEIF(X投稿ログ!E:E,"○",X投稿ログ!G:G),0)</f>
        <v>0</v>
      </c>
      <c r="D24" s="18" t="n">
        <f aca="false">IFERROR(AVERAGEIF(X投稿ログ!E:E,"○",X投稿ログ!M:M),0)</f>
        <v>0</v>
      </c>
      <c r="E24" s="16" t="n">
        <f aca="false">IFERROR(AVERAGEIF(X投稿ログ!E:E,"○",X投稿ログ!O:O),0)</f>
        <v>0</v>
      </c>
    </row>
    <row r="25" customFormat="false" ht="15" hidden="false" customHeight="true" outlineLevel="0" collapsed="false">
      <c r="A25" s="15" t="s">
        <v>181</v>
      </c>
      <c r="B25" s="19" t="n">
        <f aca="false">COUNTIF(X投稿ログ!E:E,"×")</f>
        <v>0</v>
      </c>
      <c r="C25" s="16" t="n">
        <f aca="false">IFERROR(AVERAGEIF(X投稿ログ!E:E,"×",X投稿ログ!G:G),0)</f>
        <v>0</v>
      </c>
      <c r="D25" s="18" t="n">
        <f aca="false">IFERROR(AVERAGEIF(X投稿ログ!E:E,"×",X投稿ログ!M:M),0)</f>
        <v>0</v>
      </c>
      <c r="E25" s="16" t="n">
        <f aca="false">IFERROR(AVERAGEIF(X投稿ログ!E:E,"×",X投稿ログ!O:O),0)</f>
        <v>0</v>
      </c>
    </row>
  </sheetData>
  <mergeCells count="3">
    <mergeCell ref="A1:H1"/>
    <mergeCell ref="A11:F11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"/>
    <col collapsed="false" customWidth="true" hidden="false" outlineLevel="0" max="3" min="3" style="1" width="8"/>
    <col collapsed="false" customWidth="true" hidden="false" outlineLevel="0" max="5" min="4" style="1" width="12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8" min="8" style="1" width="12"/>
    <col collapsed="false" customWidth="true" hidden="false" outlineLevel="0" max="10" min="9" style="1" width="20"/>
    <col collapsed="false" customWidth="true" hidden="false" outlineLevel="0" max="11" min="11" style="1" width="12"/>
    <col collapsed="false" customWidth="true" hidden="false" outlineLevel="0" max="12" min="12" style="1" width="24"/>
    <col collapsed="false" customWidth="true" hidden="false" outlineLevel="0" max="13" min="13" style="1" width="30"/>
  </cols>
  <sheetData>
    <row r="1" customFormat="false" ht="27.75" hidden="false" customHeight="true" outlineLevel="0" collapsed="false">
      <c r="A1" s="20" t="s">
        <v>182</v>
      </c>
      <c r="B1" s="20" t="s">
        <v>183</v>
      </c>
      <c r="C1" s="20" t="s">
        <v>158</v>
      </c>
      <c r="D1" s="20" t="s">
        <v>184</v>
      </c>
      <c r="E1" s="20" t="s">
        <v>185</v>
      </c>
      <c r="F1" s="20" t="s">
        <v>186</v>
      </c>
      <c r="G1" s="20" t="s">
        <v>187</v>
      </c>
      <c r="H1" s="20" t="s">
        <v>188</v>
      </c>
      <c r="I1" s="20" t="s">
        <v>189</v>
      </c>
      <c r="J1" s="20" t="s">
        <v>190</v>
      </c>
      <c r="K1" s="20" t="s">
        <v>45</v>
      </c>
      <c r="L1" s="21" t="s">
        <v>191</v>
      </c>
      <c r="M1" s="20" t="s">
        <v>192</v>
      </c>
    </row>
    <row r="2" customFormat="false" ht="15" hidden="false" customHeight="true" outlineLevel="0" collapsed="false">
      <c r="A2" s="22" t="s">
        <v>2</v>
      </c>
      <c r="B2" s="23" t="s">
        <v>193</v>
      </c>
      <c r="C2" s="22" t="n">
        <f aca="false">COUNTA(X投稿ログ!G2:G6)</f>
        <v>0</v>
      </c>
      <c r="D2" s="26" t="n">
        <f aca="false">SUM(X投稿ログ!G2:G6)</f>
        <v>0</v>
      </c>
      <c r="E2" s="26" t="n">
        <f aca="false">SUM(X投稿ログ!H2:H6)</f>
        <v>0</v>
      </c>
      <c r="F2" s="22" t="n">
        <f aca="false">SUM(X投稿ログ!I2:I6)</f>
        <v>0</v>
      </c>
      <c r="G2" s="22" t="n">
        <f aca="false">SUM(X投稿ログ!J2:J6)</f>
        <v>0</v>
      </c>
      <c r="H2" s="24" t="str">
        <f aca="false">IFERROR(E2/D2,"")</f>
        <v/>
      </c>
      <c r="I2" s="22" t="str">
        <f aca="false">IFERROR(INDEX(X投稿ログ!B2:B6,MATCH(MAX(X投稿ログ!G2:G6),X投稿ログ!G2:G6,0)),"")</f>
        <v/>
      </c>
      <c r="J2" s="22" t="str">
        <f aca="false">IFERROR(INDEX(X投稿ログ!C2:C6,MATCH(MAX(X投稿ログ!G2:G6),X投稿ログ!G2:G6,0)),"")</f>
        <v/>
      </c>
      <c r="K2" s="22" t="n">
        <f aca="false">IFERROR(Xフォロワー推移!C2,"")</f>
        <v>0</v>
      </c>
      <c r="L2" s="22"/>
      <c r="M2" s="22"/>
    </row>
    <row r="3" customFormat="false" ht="15" hidden="false" customHeight="true" outlineLevel="0" collapsed="false">
      <c r="A3" s="27" t="s">
        <v>68</v>
      </c>
      <c r="B3" s="28" t="s">
        <v>194</v>
      </c>
      <c r="C3" s="27" t="n">
        <f aca="false">COUNTA(X投稿ログ!G7:G11)</f>
        <v>0</v>
      </c>
      <c r="D3" s="31" t="n">
        <f aca="false">SUM(X投稿ログ!G7:G11)</f>
        <v>0</v>
      </c>
      <c r="E3" s="31" t="n">
        <f aca="false">SUM(X投稿ログ!H7:H11)</f>
        <v>0</v>
      </c>
      <c r="F3" s="27" t="n">
        <f aca="false">SUM(X投稿ログ!I7:I11)</f>
        <v>0</v>
      </c>
      <c r="G3" s="27" t="n">
        <f aca="false">SUM(X投稿ログ!J7:J11)</f>
        <v>0</v>
      </c>
      <c r="H3" s="29" t="str">
        <f aca="false">IFERROR(E3/D3,"")</f>
        <v/>
      </c>
      <c r="I3" s="27" t="str">
        <f aca="false">IFERROR(INDEX(X投稿ログ!B7:B11,MATCH(MAX(X投稿ログ!G7:G11),X投稿ログ!G7:G11,0)),"")</f>
        <v/>
      </c>
      <c r="J3" s="27" t="str">
        <f aca="false">IFERROR(INDEX(X投稿ログ!C7:C11,MATCH(MAX(X投稿ログ!G7:G11),X投稿ログ!G7:G11,0)),"")</f>
        <v/>
      </c>
      <c r="K3" s="27" t="str">
        <f aca="false">IFERROR(Xフォロワー推移!C3,"")</f>
        <v/>
      </c>
      <c r="L3" s="27"/>
      <c r="M3" s="27"/>
    </row>
    <row r="4" customFormat="false" ht="15" hidden="false" customHeight="true" outlineLevel="0" collapsed="false">
      <c r="A4" s="22" t="s">
        <v>69</v>
      </c>
      <c r="B4" s="23" t="s">
        <v>195</v>
      </c>
      <c r="C4" s="22" t="n">
        <f aca="false">COUNTA(X投稿ログ!G12:G16)</f>
        <v>0</v>
      </c>
      <c r="D4" s="26" t="n">
        <f aca="false">SUM(X投稿ログ!G12:G16)</f>
        <v>0</v>
      </c>
      <c r="E4" s="26" t="n">
        <f aca="false">SUM(X投稿ログ!H12:H16)</f>
        <v>0</v>
      </c>
      <c r="F4" s="22" t="n">
        <f aca="false">SUM(X投稿ログ!I12:I16)</f>
        <v>0</v>
      </c>
      <c r="G4" s="22" t="n">
        <f aca="false">SUM(X投稿ログ!J12:J16)</f>
        <v>0</v>
      </c>
      <c r="H4" s="24" t="str">
        <f aca="false">IFERROR(E4/D4,"")</f>
        <v/>
      </c>
      <c r="I4" s="22" t="str">
        <f aca="false">IFERROR(INDEX(X投稿ログ!B12:B16,MATCH(MAX(X投稿ログ!G12:G16),X投稿ログ!G12:G16,0)),"")</f>
        <v/>
      </c>
      <c r="J4" s="22" t="str">
        <f aca="false">IFERROR(INDEX(X投稿ログ!C12:C16,MATCH(MAX(X投稿ログ!G12:G16),X投稿ログ!G12:G16,0)),"")</f>
        <v/>
      </c>
      <c r="K4" s="22" t="str">
        <f aca="false">IFERROR(Xフォロワー推移!C4,"")</f>
        <v/>
      </c>
      <c r="L4" s="22"/>
      <c r="M4" s="22"/>
    </row>
    <row r="5" customFormat="false" ht="15" hidden="false" customHeight="true" outlineLevel="0" collapsed="false">
      <c r="A5" s="33" t="s">
        <v>70</v>
      </c>
      <c r="B5" s="34" t="s">
        <v>196</v>
      </c>
      <c r="C5" s="33" t="n">
        <f aca="false">COUNTA(X投稿ログ!G17:G21)</f>
        <v>0</v>
      </c>
      <c r="D5" s="35" t="n">
        <f aca="false">SUM(X投稿ログ!G17:G21)</f>
        <v>0</v>
      </c>
      <c r="E5" s="35" t="n">
        <f aca="false">SUM(X投稿ログ!H17:H21)</f>
        <v>0</v>
      </c>
      <c r="F5" s="33" t="n">
        <f aca="false">SUM(X投稿ログ!I17:I21)</f>
        <v>0</v>
      </c>
      <c r="G5" s="33" t="n">
        <f aca="false">SUM(X投稿ログ!J17:J21)</f>
        <v>0</v>
      </c>
      <c r="H5" s="36" t="str">
        <f aca="false">IFERROR(E5/D5,"")</f>
        <v/>
      </c>
      <c r="I5" s="33" t="str">
        <f aca="false">IFERROR(INDEX(X投稿ログ!B17:B21,MATCH(MAX(X投稿ログ!G17:G21),X投稿ログ!G17:G21,0)),"")</f>
        <v/>
      </c>
      <c r="J5" s="33" t="str">
        <f aca="false">IFERROR(INDEX(X投稿ログ!C17:C21,MATCH(MAX(X投稿ログ!G17:G21),X投稿ログ!G17:G21,0)),"")</f>
        <v/>
      </c>
      <c r="K5" s="33" t="str">
        <f aca="false">IFERROR(Xフォロワー推移!C5,"")</f>
        <v/>
      </c>
      <c r="L5" s="33"/>
      <c r="M5" s="33"/>
    </row>
    <row r="6" customFormat="false" ht="15" hidden="false" customHeight="true" outlineLevel="0" collapsed="false">
      <c r="A6" s="33" t="s">
        <v>71</v>
      </c>
      <c r="B6" s="34" t="s">
        <v>197</v>
      </c>
      <c r="C6" s="33" t="n">
        <f aca="false">COUNTA(X投稿ログ!G22:G26)</f>
        <v>0</v>
      </c>
      <c r="D6" s="35" t="n">
        <f aca="false">SUM(X投稿ログ!G22:G26)</f>
        <v>0</v>
      </c>
      <c r="E6" s="35" t="n">
        <f aca="false">SUM(X投稿ログ!H22:H26)</f>
        <v>0</v>
      </c>
      <c r="F6" s="33" t="n">
        <f aca="false">SUM(X投稿ログ!I22:I26)</f>
        <v>0</v>
      </c>
      <c r="G6" s="33" t="n">
        <f aca="false">SUM(X投稿ログ!J22:J26)</f>
        <v>0</v>
      </c>
      <c r="H6" s="36" t="str">
        <f aca="false">IFERROR(E6/D6,"")</f>
        <v/>
      </c>
      <c r="I6" s="33" t="str">
        <f aca="false">IFERROR(INDEX(X投稿ログ!B22:B26,MATCH(MAX(X投稿ログ!G22:G26),X投稿ログ!G22:G26,0)),"")</f>
        <v/>
      </c>
      <c r="J6" s="33" t="str">
        <f aca="false">IFERROR(INDEX(X投稿ログ!C22:C26,MATCH(MAX(X投稿ログ!G22:G26),X投稿ログ!G22:G26,0)),"")</f>
        <v/>
      </c>
      <c r="K6" s="33" t="str">
        <f aca="false">IFERROR(Xフォロワー推移!C6,"")</f>
        <v/>
      </c>
      <c r="L6" s="33"/>
      <c r="M6" s="33"/>
    </row>
    <row r="7" customFormat="false" ht="15" hidden="false" customHeight="true" outlineLevel="0" collapsed="false">
      <c r="A7" s="27" t="s">
        <v>72</v>
      </c>
      <c r="B7" s="28" t="s">
        <v>198</v>
      </c>
      <c r="C7" s="27" t="n">
        <f aca="false">COUNTA(X投稿ログ!G27:G31)</f>
        <v>0</v>
      </c>
      <c r="D7" s="31" t="n">
        <f aca="false">SUM(X投稿ログ!G27:G31)</f>
        <v>0</v>
      </c>
      <c r="E7" s="31" t="n">
        <f aca="false">SUM(X投稿ログ!H27:H31)</f>
        <v>0</v>
      </c>
      <c r="F7" s="27" t="n">
        <f aca="false">SUM(X投稿ログ!I27:I31)</f>
        <v>0</v>
      </c>
      <c r="G7" s="27" t="n">
        <f aca="false">SUM(X投稿ログ!J27:J31)</f>
        <v>0</v>
      </c>
      <c r="H7" s="29" t="str">
        <f aca="false">IFERROR(E7/D7,"")</f>
        <v/>
      </c>
      <c r="I7" s="27" t="str">
        <f aca="false">IFERROR(INDEX(X投稿ログ!B27:B31,MATCH(MAX(X投稿ログ!G27:G31),X投稿ログ!G27:G31,0)),"")</f>
        <v/>
      </c>
      <c r="J7" s="27" t="str">
        <f aca="false">IFERROR(INDEX(X投稿ログ!C27:C31,MATCH(MAX(X投稿ログ!G27:G31),X投稿ログ!G27:G31,0)),"")</f>
        <v/>
      </c>
      <c r="K7" s="27" t="str">
        <f aca="false">IFERROR(Xフォロワー推移!C7,"")</f>
        <v/>
      </c>
      <c r="L7" s="27"/>
      <c r="M7" s="27"/>
    </row>
    <row r="8" customFormat="false" ht="15" hidden="false" customHeight="true" outlineLevel="0" collapsed="false">
      <c r="A8" s="22" t="s">
        <v>73</v>
      </c>
      <c r="B8" s="23" t="s">
        <v>199</v>
      </c>
      <c r="C8" s="22" t="n">
        <f aca="false">COUNTA(X投稿ログ!G32:G36)</f>
        <v>0</v>
      </c>
      <c r="D8" s="26" t="n">
        <f aca="false">SUM(X投稿ログ!G32:G36)</f>
        <v>0</v>
      </c>
      <c r="E8" s="26" t="n">
        <f aca="false">SUM(X投稿ログ!H32:H36)</f>
        <v>0</v>
      </c>
      <c r="F8" s="22" t="n">
        <f aca="false">SUM(X投稿ログ!I32:I36)</f>
        <v>0</v>
      </c>
      <c r="G8" s="22" t="n">
        <f aca="false">SUM(X投稿ログ!J32:J36)</f>
        <v>0</v>
      </c>
      <c r="H8" s="24" t="str">
        <f aca="false">IFERROR(E8/D8,"")</f>
        <v/>
      </c>
      <c r="I8" s="22" t="str">
        <f aca="false">IFERROR(INDEX(X投稿ログ!B32:B36,MATCH(MAX(X投稿ログ!G32:G36),X投稿ログ!G32:G36,0)),"")</f>
        <v/>
      </c>
      <c r="J8" s="22" t="str">
        <f aca="false">IFERROR(INDEX(X投稿ログ!C32:C36,MATCH(MAX(X投稿ログ!G32:G36),X投稿ログ!G32:G36,0)),"")</f>
        <v/>
      </c>
      <c r="K8" s="22" t="str">
        <f aca="false">IFERROR(Xフォロワー推移!C8,"")</f>
        <v/>
      </c>
      <c r="L8" s="22"/>
      <c r="M8" s="22"/>
    </row>
    <row r="9" customFormat="false" ht="15" hidden="false" customHeight="true" outlineLevel="0" collapsed="false">
      <c r="A9" s="27" t="s">
        <v>74</v>
      </c>
      <c r="B9" s="28" t="s">
        <v>193</v>
      </c>
      <c r="C9" s="27" t="n">
        <f aca="false">COUNTA(X投稿ログ!G37:G41)</f>
        <v>0</v>
      </c>
      <c r="D9" s="31" t="n">
        <f aca="false">SUM(X投稿ログ!G37:G41)</f>
        <v>0</v>
      </c>
      <c r="E9" s="31" t="n">
        <f aca="false">SUM(X投稿ログ!H37:H41)</f>
        <v>0</v>
      </c>
      <c r="F9" s="27" t="n">
        <f aca="false">SUM(X投稿ログ!I37:I41)</f>
        <v>0</v>
      </c>
      <c r="G9" s="27" t="n">
        <f aca="false">SUM(X投稿ログ!J37:J41)</f>
        <v>0</v>
      </c>
      <c r="H9" s="29" t="str">
        <f aca="false">IFERROR(E9/D9,"")</f>
        <v/>
      </c>
      <c r="I9" s="27" t="str">
        <f aca="false">IFERROR(INDEX(X投稿ログ!B37:B41,MATCH(MAX(X投稿ログ!G37:G41),X投稿ログ!G37:G41,0)),"")</f>
        <v/>
      </c>
      <c r="J9" s="27" t="str">
        <f aca="false">IFERROR(INDEX(X投稿ログ!C37:C41,MATCH(MAX(X投稿ログ!G37:G41),X投稿ログ!G37:G41,0)),"")</f>
        <v/>
      </c>
      <c r="K9" s="27" t="str">
        <f aca="false">IFERROR(Xフォロワー推移!C9,"")</f>
        <v/>
      </c>
      <c r="L9" s="27"/>
      <c r="M9" s="27"/>
    </row>
    <row r="10" customFormat="false" ht="15" hidden="false" customHeight="true" outlineLevel="0" collapsed="false">
      <c r="A10" s="22" t="s">
        <v>75</v>
      </c>
      <c r="B10" s="23" t="s">
        <v>194</v>
      </c>
      <c r="C10" s="22" t="n">
        <f aca="false">COUNTA(X投稿ログ!G42:G46)</f>
        <v>0</v>
      </c>
      <c r="D10" s="26" t="n">
        <f aca="false">SUM(X投稿ログ!G42:G46)</f>
        <v>0</v>
      </c>
      <c r="E10" s="26" t="n">
        <f aca="false">SUM(X投稿ログ!H42:H46)</f>
        <v>0</v>
      </c>
      <c r="F10" s="22" t="n">
        <f aca="false">SUM(X投稿ログ!I42:I46)</f>
        <v>0</v>
      </c>
      <c r="G10" s="22" t="n">
        <f aca="false">SUM(X投稿ログ!J42:J46)</f>
        <v>0</v>
      </c>
      <c r="H10" s="24" t="str">
        <f aca="false">IFERROR(E10/D10,"")</f>
        <v/>
      </c>
      <c r="I10" s="22" t="str">
        <f aca="false">IFERROR(INDEX(X投稿ログ!B42:B46,MATCH(MAX(X投稿ログ!G42:G46),X投稿ログ!G42:G46,0)),"")</f>
        <v/>
      </c>
      <c r="J10" s="22" t="str">
        <f aca="false">IFERROR(INDEX(X投稿ログ!C42:C46,MATCH(MAX(X投稿ログ!G42:G46),X投稿ログ!G42:G46,0)),"")</f>
        <v/>
      </c>
      <c r="K10" s="22" t="str">
        <f aca="false">IFERROR(Xフォロワー推移!C10,"")</f>
        <v/>
      </c>
      <c r="L10" s="22"/>
      <c r="M10" s="22"/>
    </row>
    <row r="11" customFormat="false" ht="15" hidden="false" customHeight="true" outlineLevel="0" collapsed="false">
      <c r="A11" s="27" t="s">
        <v>76</v>
      </c>
      <c r="B11" s="28" t="s">
        <v>195</v>
      </c>
      <c r="C11" s="27" t="n">
        <f aca="false">COUNTA(X投稿ログ!G47:G51)</f>
        <v>0</v>
      </c>
      <c r="D11" s="31" t="n">
        <f aca="false">SUM(X投稿ログ!G47:G51)</f>
        <v>0</v>
      </c>
      <c r="E11" s="31" t="n">
        <f aca="false">SUM(X投稿ログ!H47:H51)</f>
        <v>0</v>
      </c>
      <c r="F11" s="27" t="n">
        <f aca="false">SUM(X投稿ログ!I47:I51)</f>
        <v>0</v>
      </c>
      <c r="G11" s="27" t="n">
        <f aca="false">SUM(X投稿ログ!J47:J51)</f>
        <v>0</v>
      </c>
      <c r="H11" s="29" t="str">
        <f aca="false">IFERROR(E11/D11,"")</f>
        <v/>
      </c>
      <c r="I11" s="27" t="str">
        <f aca="false">IFERROR(INDEX(X投稿ログ!B47:B51,MATCH(MAX(X投稿ログ!G47:G51),X投稿ログ!G47:G51,0)),"")</f>
        <v/>
      </c>
      <c r="J11" s="27" t="str">
        <f aca="false">IFERROR(INDEX(X投稿ログ!C47:C51,MATCH(MAX(X投稿ログ!G47:G51),X投稿ログ!G47:G51,0)),"")</f>
        <v/>
      </c>
      <c r="K11" s="27" t="str">
        <f aca="false">IFERROR(Xフォロワー推移!C11,"")</f>
        <v/>
      </c>
      <c r="L11" s="27"/>
      <c r="M11" s="27"/>
    </row>
    <row r="12" customFormat="false" ht="15" hidden="false" customHeight="true" outlineLevel="0" collapsed="false">
      <c r="A12" s="33" t="s">
        <v>77</v>
      </c>
      <c r="B12" s="34" t="s">
        <v>196</v>
      </c>
      <c r="C12" s="33" t="n">
        <f aca="false">COUNTA(X投稿ログ!G52:G56)</f>
        <v>0</v>
      </c>
      <c r="D12" s="35" t="n">
        <f aca="false">SUM(X投稿ログ!G52:G56)</f>
        <v>0</v>
      </c>
      <c r="E12" s="35" t="n">
        <f aca="false">SUM(X投稿ログ!H52:H56)</f>
        <v>0</v>
      </c>
      <c r="F12" s="33" t="n">
        <f aca="false">SUM(X投稿ログ!I52:I56)</f>
        <v>0</v>
      </c>
      <c r="G12" s="33" t="n">
        <f aca="false">SUM(X投稿ログ!J52:J56)</f>
        <v>0</v>
      </c>
      <c r="H12" s="36" t="str">
        <f aca="false">IFERROR(E12/D12,"")</f>
        <v/>
      </c>
      <c r="I12" s="33" t="str">
        <f aca="false">IFERROR(INDEX(X投稿ログ!B52:B56,MATCH(MAX(X投稿ログ!G52:G56),X投稿ログ!G52:G56,0)),"")</f>
        <v/>
      </c>
      <c r="J12" s="33" t="str">
        <f aca="false">IFERROR(INDEX(X投稿ログ!C52:C56,MATCH(MAX(X投稿ログ!G52:G56),X投稿ログ!G52:G56,0)),"")</f>
        <v/>
      </c>
      <c r="K12" s="33" t="str">
        <f aca="false">IFERROR(Xフォロワー推移!C12,"")</f>
        <v/>
      </c>
      <c r="L12" s="33"/>
      <c r="M12" s="33"/>
    </row>
    <row r="13" customFormat="false" ht="15" hidden="false" customHeight="true" outlineLevel="0" collapsed="false">
      <c r="A13" s="33" t="s">
        <v>78</v>
      </c>
      <c r="B13" s="34" t="s">
        <v>197</v>
      </c>
      <c r="C13" s="33" t="n">
        <f aca="false">COUNTA(X投稿ログ!G57:G61)</f>
        <v>0</v>
      </c>
      <c r="D13" s="35" t="n">
        <f aca="false">SUM(X投稿ログ!G57:G61)</f>
        <v>0</v>
      </c>
      <c r="E13" s="35" t="n">
        <f aca="false">SUM(X投稿ログ!H57:H61)</f>
        <v>0</v>
      </c>
      <c r="F13" s="33" t="n">
        <f aca="false">SUM(X投稿ログ!I57:I61)</f>
        <v>0</v>
      </c>
      <c r="G13" s="33" t="n">
        <f aca="false">SUM(X投稿ログ!J57:J61)</f>
        <v>0</v>
      </c>
      <c r="H13" s="36" t="str">
        <f aca="false">IFERROR(E13/D13,"")</f>
        <v/>
      </c>
      <c r="I13" s="33" t="str">
        <f aca="false">IFERROR(INDEX(X投稿ログ!B57:B61,MATCH(MAX(X投稿ログ!G57:G61),X投稿ログ!G57:G61,0)),"")</f>
        <v/>
      </c>
      <c r="J13" s="33" t="str">
        <f aca="false">IFERROR(INDEX(X投稿ログ!C57:C61,MATCH(MAX(X投稿ログ!G57:G61),X投稿ログ!G57:G61,0)),"")</f>
        <v/>
      </c>
      <c r="K13" s="33" t="str">
        <f aca="false">IFERROR(Xフォロワー推移!C13,"")</f>
        <v/>
      </c>
      <c r="L13" s="33"/>
      <c r="M13" s="33"/>
    </row>
    <row r="14" customFormat="false" ht="15" hidden="false" customHeight="true" outlineLevel="0" collapsed="false">
      <c r="A14" s="22" t="s">
        <v>79</v>
      </c>
      <c r="B14" s="23" t="s">
        <v>198</v>
      </c>
      <c r="C14" s="22" t="n">
        <f aca="false">COUNTA(X投稿ログ!G62:G66)</f>
        <v>0</v>
      </c>
      <c r="D14" s="26" t="n">
        <f aca="false">SUM(X投稿ログ!G62:G66)</f>
        <v>0</v>
      </c>
      <c r="E14" s="26" t="n">
        <f aca="false">SUM(X投稿ログ!H62:H66)</f>
        <v>0</v>
      </c>
      <c r="F14" s="22" t="n">
        <f aca="false">SUM(X投稿ログ!I62:I66)</f>
        <v>0</v>
      </c>
      <c r="G14" s="22" t="n">
        <f aca="false">SUM(X投稿ログ!J62:J66)</f>
        <v>0</v>
      </c>
      <c r="H14" s="24" t="str">
        <f aca="false">IFERROR(E14/D14,"")</f>
        <v/>
      </c>
      <c r="I14" s="22" t="str">
        <f aca="false">IFERROR(INDEX(X投稿ログ!B62:B66,MATCH(MAX(X投稿ログ!G62:G66),X投稿ログ!G62:G66,0)),"")</f>
        <v/>
      </c>
      <c r="J14" s="22" t="str">
        <f aca="false">IFERROR(INDEX(X投稿ログ!C62:C66,MATCH(MAX(X投稿ログ!G62:G66),X投稿ログ!G62:G66,0)),"")</f>
        <v/>
      </c>
      <c r="K14" s="22" t="str">
        <f aca="false">IFERROR(Xフォロワー推移!C14,"")</f>
        <v/>
      </c>
      <c r="L14" s="22"/>
      <c r="M14" s="22"/>
    </row>
    <row r="15" customFormat="false" ht="15" hidden="false" customHeight="true" outlineLevel="0" collapsed="false">
      <c r="A15" s="27" t="s">
        <v>80</v>
      </c>
      <c r="B15" s="28" t="s">
        <v>199</v>
      </c>
      <c r="C15" s="27" t="n">
        <f aca="false">COUNTA(X投稿ログ!G67:G71)</f>
        <v>0</v>
      </c>
      <c r="D15" s="31" t="n">
        <f aca="false">SUM(X投稿ログ!G67:G71)</f>
        <v>0</v>
      </c>
      <c r="E15" s="31" t="n">
        <f aca="false">SUM(X投稿ログ!H67:H71)</f>
        <v>0</v>
      </c>
      <c r="F15" s="27" t="n">
        <f aca="false">SUM(X投稿ログ!I67:I71)</f>
        <v>0</v>
      </c>
      <c r="G15" s="27" t="n">
        <f aca="false">SUM(X投稿ログ!J67:J71)</f>
        <v>0</v>
      </c>
      <c r="H15" s="29" t="str">
        <f aca="false">IFERROR(E15/D15,"")</f>
        <v/>
      </c>
      <c r="I15" s="27" t="str">
        <f aca="false">IFERROR(INDEX(X投稿ログ!B67:B71,MATCH(MAX(X投稿ログ!G67:G71),X投稿ログ!G67:G71,0)),"")</f>
        <v/>
      </c>
      <c r="J15" s="27" t="str">
        <f aca="false">IFERROR(INDEX(X投稿ログ!C67:C71,MATCH(MAX(X投稿ログ!G67:G71),X投稿ログ!G67:G71,0)),"")</f>
        <v/>
      </c>
      <c r="K15" s="27" t="str">
        <f aca="false">IFERROR(Xフォロワー推移!C15,"")</f>
        <v/>
      </c>
      <c r="L15" s="27"/>
      <c r="M15" s="27"/>
    </row>
    <row r="16" customFormat="false" ht="15" hidden="false" customHeight="true" outlineLevel="0" collapsed="false">
      <c r="A16" s="22" t="s">
        <v>81</v>
      </c>
      <c r="B16" s="23" t="s">
        <v>193</v>
      </c>
      <c r="C16" s="22" t="n">
        <f aca="false">COUNTA(X投稿ログ!G72:G76)</f>
        <v>0</v>
      </c>
      <c r="D16" s="26" t="n">
        <f aca="false">SUM(X投稿ログ!G72:G76)</f>
        <v>0</v>
      </c>
      <c r="E16" s="26" t="n">
        <f aca="false">SUM(X投稿ログ!H72:H76)</f>
        <v>0</v>
      </c>
      <c r="F16" s="22" t="n">
        <f aca="false">SUM(X投稿ログ!I72:I76)</f>
        <v>0</v>
      </c>
      <c r="G16" s="22" t="n">
        <f aca="false">SUM(X投稿ログ!J72:J76)</f>
        <v>0</v>
      </c>
      <c r="H16" s="24" t="str">
        <f aca="false">IFERROR(E16/D16,"")</f>
        <v/>
      </c>
      <c r="I16" s="22" t="str">
        <f aca="false">IFERROR(INDEX(X投稿ログ!B72:B76,MATCH(MAX(X投稿ログ!G72:G76),X投稿ログ!G72:G76,0)),"")</f>
        <v/>
      </c>
      <c r="J16" s="22" t="str">
        <f aca="false">IFERROR(INDEX(X投稿ログ!C72:C76,MATCH(MAX(X投稿ログ!G72:G76),X投稿ログ!G72:G76,0)),"")</f>
        <v/>
      </c>
      <c r="K16" s="22" t="str">
        <f aca="false">IFERROR(Xフォロワー推移!C16,"")</f>
        <v/>
      </c>
      <c r="L16" s="22"/>
      <c r="M16" s="22"/>
    </row>
    <row r="17" customFormat="false" ht="15" hidden="false" customHeight="true" outlineLevel="0" collapsed="false">
      <c r="A17" s="27" t="s">
        <v>82</v>
      </c>
      <c r="B17" s="28" t="s">
        <v>194</v>
      </c>
      <c r="C17" s="27" t="n">
        <f aca="false">COUNTA(X投稿ログ!G77:G81)</f>
        <v>0</v>
      </c>
      <c r="D17" s="31" t="n">
        <f aca="false">SUM(X投稿ログ!G77:G81)</f>
        <v>0</v>
      </c>
      <c r="E17" s="31" t="n">
        <f aca="false">SUM(X投稿ログ!H77:H81)</f>
        <v>0</v>
      </c>
      <c r="F17" s="27" t="n">
        <f aca="false">SUM(X投稿ログ!I77:I81)</f>
        <v>0</v>
      </c>
      <c r="G17" s="27" t="n">
        <f aca="false">SUM(X投稿ログ!J77:J81)</f>
        <v>0</v>
      </c>
      <c r="H17" s="29" t="str">
        <f aca="false">IFERROR(E17/D17,"")</f>
        <v/>
      </c>
      <c r="I17" s="27" t="str">
        <f aca="false">IFERROR(INDEX(X投稿ログ!B77:B81,MATCH(MAX(X投稿ログ!G77:G81),X投稿ログ!G77:G81,0)),"")</f>
        <v/>
      </c>
      <c r="J17" s="27" t="str">
        <f aca="false">IFERROR(INDEX(X投稿ログ!C77:C81,MATCH(MAX(X投稿ログ!G77:G81),X投稿ログ!G77:G81,0)),"")</f>
        <v/>
      </c>
      <c r="K17" s="27" t="str">
        <f aca="false">IFERROR(Xフォロワー推移!C17,"")</f>
        <v/>
      </c>
      <c r="L17" s="27"/>
      <c r="M17" s="27"/>
    </row>
    <row r="18" customFormat="false" ht="15" hidden="false" customHeight="true" outlineLevel="0" collapsed="false">
      <c r="A18" s="22" t="s">
        <v>83</v>
      </c>
      <c r="B18" s="23" t="s">
        <v>195</v>
      </c>
      <c r="C18" s="22" t="n">
        <f aca="false">COUNTA(X投稿ログ!G82:G86)</f>
        <v>0</v>
      </c>
      <c r="D18" s="26" t="n">
        <f aca="false">SUM(X投稿ログ!G82:G86)</f>
        <v>0</v>
      </c>
      <c r="E18" s="26" t="n">
        <f aca="false">SUM(X投稿ログ!H82:H86)</f>
        <v>0</v>
      </c>
      <c r="F18" s="22" t="n">
        <f aca="false">SUM(X投稿ログ!I82:I86)</f>
        <v>0</v>
      </c>
      <c r="G18" s="22" t="n">
        <f aca="false">SUM(X投稿ログ!J82:J86)</f>
        <v>0</v>
      </c>
      <c r="H18" s="24" t="str">
        <f aca="false">IFERROR(E18/D18,"")</f>
        <v/>
      </c>
      <c r="I18" s="22" t="str">
        <f aca="false">IFERROR(INDEX(X投稿ログ!B82:B86,MATCH(MAX(X投稿ログ!G82:G86),X投稿ログ!G82:G86,0)),"")</f>
        <v/>
      </c>
      <c r="J18" s="22" t="str">
        <f aca="false">IFERROR(INDEX(X投稿ログ!C82:C86,MATCH(MAX(X投稿ログ!G82:G86),X投稿ログ!G82:G86,0)),"")</f>
        <v/>
      </c>
      <c r="K18" s="22" t="str">
        <f aca="false">IFERROR(Xフォロワー推移!C18,"")</f>
        <v/>
      </c>
      <c r="L18" s="22"/>
      <c r="M18" s="22"/>
    </row>
    <row r="19" customFormat="false" ht="15" hidden="false" customHeight="true" outlineLevel="0" collapsed="false">
      <c r="A19" s="33" t="s">
        <v>84</v>
      </c>
      <c r="B19" s="34" t="s">
        <v>196</v>
      </c>
      <c r="C19" s="33" t="n">
        <f aca="false">COUNTA(X投稿ログ!G87:G91)</f>
        <v>0</v>
      </c>
      <c r="D19" s="35" t="n">
        <f aca="false">SUM(X投稿ログ!G87:G91)</f>
        <v>0</v>
      </c>
      <c r="E19" s="35" t="n">
        <f aca="false">SUM(X投稿ログ!H87:H91)</f>
        <v>0</v>
      </c>
      <c r="F19" s="33" t="n">
        <f aca="false">SUM(X投稿ログ!I87:I91)</f>
        <v>0</v>
      </c>
      <c r="G19" s="33" t="n">
        <f aca="false">SUM(X投稿ログ!J87:J91)</f>
        <v>0</v>
      </c>
      <c r="H19" s="36" t="str">
        <f aca="false">IFERROR(E19/D19,"")</f>
        <v/>
      </c>
      <c r="I19" s="33" t="str">
        <f aca="false">IFERROR(INDEX(X投稿ログ!B87:B91,MATCH(MAX(X投稿ログ!G87:G91),X投稿ログ!G87:G91,0)),"")</f>
        <v/>
      </c>
      <c r="J19" s="33" t="str">
        <f aca="false">IFERROR(INDEX(X投稿ログ!C87:C91,MATCH(MAX(X投稿ログ!G87:G91),X投稿ログ!G87:G91,0)),"")</f>
        <v/>
      </c>
      <c r="K19" s="33" t="str">
        <f aca="false">IFERROR(Xフォロワー推移!C19,"")</f>
        <v/>
      </c>
      <c r="L19" s="33"/>
      <c r="M19" s="33"/>
    </row>
    <row r="20" customFormat="false" ht="15" hidden="false" customHeight="true" outlineLevel="0" collapsed="false">
      <c r="A20" s="33" t="s">
        <v>85</v>
      </c>
      <c r="B20" s="34" t="s">
        <v>197</v>
      </c>
      <c r="C20" s="33" t="n">
        <f aca="false">COUNTA(X投稿ログ!G92:G96)</f>
        <v>0</v>
      </c>
      <c r="D20" s="35" t="n">
        <f aca="false">SUM(X投稿ログ!G92:G96)</f>
        <v>0</v>
      </c>
      <c r="E20" s="35" t="n">
        <f aca="false">SUM(X投稿ログ!H92:H96)</f>
        <v>0</v>
      </c>
      <c r="F20" s="33" t="n">
        <f aca="false">SUM(X投稿ログ!I92:I96)</f>
        <v>0</v>
      </c>
      <c r="G20" s="33" t="n">
        <f aca="false">SUM(X投稿ログ!J92:J96)</f>
        <v>0</v>
      </c>
      <c r="H20" s="36" t="str">
        <f aca="false">IFERROR(E20/D20,"")</f>
        <v/>
      </c>
      <c r="I20" s="33" t="str">
        <f aca="false">IFERROR(INDEX(X投稿ログ!B92:B96,MATCH(MAX(X投稿ログ!G92:G96),X投稿ログ!G92:G96,0)),"")</f>
        <v/>
      </c>
      <c r="J20" s="33" t="str">
        <f aca="false">IFERROR(INDEX(X投稿ログ!C92:C96,MATCH(MAX(X投稿ログ!G92:G96),X投稿ログ!G92:G96,0)),"")</f>
        <v/>
      </c>
      <c r="K20" s="33" t="str">
        <f aca="false">IFERROR(Xフォロワー推移!C20,"")</f>
        <v/>
      </c>
      <c r="L20" s="33"/>
      <c r="M20" s="33"/>
    </row>
    <row r="21" customFormat="false" ht="15" hidden="false" customHeight="true" outlineLevel="0" collapsed="false">
      <c r="A21" s="27" t="s">
        <v>86</v>
      </c>
      <c r="B21" s="28" t="s">
        <v>198</v>
      </c>
      <c r="C21" s="27" t="n">
        <f aca="false">COUNTA(X投稿ログ!G97:G101)</f>
        <v>0</v>
      </c>
      <c r="D21" s="31" t="n">
        <f aca="false">SUM(X投稿ログ!G97:G101)</f>
        <v>0</v>
      </c>
      <c r="E21" s="31" t="n">
        <f aca="false">SUM(X投稿ログ!H97:H101)</f>
        <v>0</v>
      </c>
      <c r="F21" s="27" t="n">
        <f aca="false">SUM(X投稿ログ!I97:I101)</f>
        <v>0</v>
      </c>
      <c r="G21" s="27" t="n">
        <f aca="false">SUM(X投稿ログ!J97:J101)</f>
        <v>0</v>
      </c>
      <c r="H21" s="29" t="str">
        <f aca="false">IFERROR(E21/D21,"")</f>
        <v/>
      </c>
      <c r="I21" s="27" t="str">
        <f aca="false">IFERROR(INDEX(X投稿ログ!B97:B101,MATCH(MAX(X投稿ログ!G97:G101),X投稿ログ!G97:G101,0)),"")</f>
        <v/>
      </c>
      <c r="J21" s="27" t="str">
        <f aca="false">IFERROR(INDEX(X投稿ログ!C97:C101,MATCH(MAX(X投稿ログ!G97:G101),X投稿ログ!G97:G101,0)),"")</f>
        <v/>
      </c>
      <c r="K21" s="27" t="str">
        <f aca="false">IFERROR(Xフォロワー推移!C21,"")</f>
        <v/>
      </c>
      <c r="L21" s="27"/>
      <c r="M21" s="27"/>
    </row>
    <row r="22" customFormat="false" ht="15" hidden="false" customHeight="true" outlineLevel="0" collapsed="false">
      <c r="A22" s="22" t="s">
        <v>87</v>
      </c>
      <c r="B22" s="23" t="s">
        <v>199</v>
      </c>
      <c r="C22" s="22" t="n">
        <f aca="false">COUNTA(X投稿ログ!G102:G106)</f>
        <v>0</v>
      </c>
      <c r="D22" s="26" t="n">
        <f aca="false">SUM(X投稿ログ!G102:G106)</f>
        <v>0</v>
      </c>
      <c r="E22" s="26" t="n">
        <f aca="false">SUM(X投稿ログ!H102:H106)</f>
        <v>0</v>
      </c>
      <c r="F22" s="22" t="n">
        <f aca="false">SUM(X投稿ログ!I102:I106)</f>
        <v>0</v>
      </c>
      <c r="G22" s="22" t="n">
        <f aca="false">SUM(X投稿ログ!J102:J106)</f>
        <v>0</v>
      </c>
      <c r="H22" s="24" t="str">
        <f aca="false">IFERROR(E22/D22,"")</f>
        <v/>
      </c>
      <c r="I22" s="22" t="str">
        <f aca="false">IFERROR(INDEX(X投稿ログ!B102:B106,MATCH(MAX(X投稿ログ!G102:G106),X投稿ログ!G102:G106,0)),"")</f>
        <v/>
      </c>
      <c r="J22" s="22" t="str">
        <f aca="false">IFERROR(INDEX(X投稿ログ!C102:C106,MATCH(MAX(X投稿ログ!G102:G106),X投稿ログ!G102:G106,0)),"")</f>
        <v/>
      </c>
      <c r="K22" s="22" t="str">
        <f aca="false">IFERROR(Xフォロワー推移!C22,"")</f>
        <v/>
      </c>
      <c r="L22" s="22"/>
      <c r="M22" s="22"/>
    </row>
    <row r="23" customFormat="false" ht="15" hidden="false" customHeight="true" outlineLevel="0" collapsed="false">
      <c r="A23" s="27" t="s">
        <v>88</v>
      </c>
      <c r="B23" s="28" t="s">
        <v>193</v>
      </c>
      <c r="C23" s="27" t="n">
        <f aca="false">COUNTA(X投稿ログ!G107:G111)</f>
        <v>0</v>
      </c>
      <c r="D23" s="31" t="n">
        <f aca="false">SUM(X投稿ログ!G107:G111)</f>
        <v>0</v>
      </c>
      <c r="E23" s="31" t="n">
        <f aca="false">SUM(X投稿ログ!H107:H111)</f>
        <v>0</v>
      </c>
      <c r="F23" s="27" t="n">
        <f aca="false">SUM(X投稿ログ!I107:I111)</f>
        <v>0</v>
      </c>
      <c r="G23" s="27" t="n">
        <f aca="false">SUM(X投稿ログ!J107:J111)</f>
        <v>0</v>
      </c>
      <c r="H23" s="29" t="str">
        <f aca="false">IFERROR(E23/D23,"")</f>
        <v/>
      </c>
      <c r="I23" s="27" t="str">
        <f aca="false">IFERROR(INDEX(X投稿ログ!B107:B111,MATCH(MAX(X投稿ログ!G107:G111),X投稿ログ!G107:G111,0)),"")</f>
        <v/>
      </c>
      <c r="J23" s="27" t="str">
        <f aca="false">IFERROR(INDEX(X投稿ログ!C107:C111,MATCH(MAX(X投稿ログ!G107:G111),X投稿ログ!G107:G111,0)),"")</f>
        <v/>
      </c>
      <c r="K23" s="27" t="str">
        <f aca="false">IFERROR(Xフォロワー推移!C23,"")</f>
        <v/>
      </c>
      <c r="L23" s="27"/>
      <c r="M23" s="27"/>
    </row>
    <row r="24" customFormat="false" ht="15" hidden="false" customHeight="true" outlineLevel="0" collapsed="false">
      <c r="A24" s="22" t="s">
        <v>89</v>
      </c>
      <c r="B24" s="23" t="s">
        <v>194</v>
      </c>
      <c r="C24" s="22" t="n">
        <f aca="false">COUNTA(X投稿ログ!G112:G116)</f>
        <v>0</v>
      </c>
      <c r="D24" s="26" t="n">
        <f aca="false">SUM(X投稿ログ!G112:G116)</f>
        <v>0</v>
      </c>
      <c r="E24" s="26" t="n">
        <f aca="false">SUM(X投稿ログ!H112:H116)</f>
        <v>0</v>
      </c>
      <c r="F24" s="22" t="n">
        <f aca="false">SUM(X投稿ログ!I112:I116)</f>
        <v>0</v>
      </c>
      <c r="G24" s="22" t="n">
        <f aca="false">SUM(X投稿ログ!J112:J116)</f>
        <v>0</v>
      </c>
      <c r="H24" s="24" t="str">
        <f aca="false">IFERROR(E24/D24,"")</f>
        <v/>
      </c>
      <c r="I24" s="22" t="str">
        <f aca="false">IFERROR(INDEX(X投稿ログ!B112:B116,MATCH(MAX(X投稿ログ!G112:G116),X投稿ログ!G112:G116,0)),"")</f>
        <v/>
      </c>
      <c r="J24" s="22" t="str">
        <f aca="false">IFERROR(INDEX(X投稿ログ!C112:C116,MATCH(MAX(X投稿ログ!G112:G116),X投稿ログ!G112:G116,0)),"")</f>
        <v/>
      </c>
      <c r="K24" s="22" t="str">
        <f aca="false">IFERROR(Xフォロワー推移!C24,"")</f>
        <v/>
      </c>
      <c r="L24" s="22"/>
      <c r="M24" s="22"/>
    </row>
    <row r="25" customFormat="false" ht="15" hidden="false" customHeight="true" outlineLevel="0" collapsed="false">
      <c r="A25" s="27" t="s">
        <v>90</v>
      </c>
      <c r="B25" s="28" t="s">
        <v>195</v>
      </c>
      <c r="C25" s="27" t="n">
        <f aca="false">COUNTA(X投稿ログ!G117:G121)</f>
        <v>0</v>
      </c>
      <c r="D25" s="31" t="n">
        <f aca="false">SUM(X投稿ログ!G117:G121)</f>
        <v>0</v>
      </c>
      <c r="E25" s="31" t="n">
        <f aca="false">SUM(X投稿ログ!H117:H121)</f>
        <v>0</v>
      </c>
      <c r="F25" s="27" t="n">
        <f aca="false">SUM(X投稿ログ!I117:I121)</f>
        <v>0</v>
      </c>
      <c r="G25" s="27" t="n">
        <f aca="false">SUM(X投稿ログ!J117:J121)</f>
        <v>0</v>
      </c>
      <c r="H25" s="29" t="str">
        <f aca="false">IFERROR(E25/D25,"")</f>
        <v/>
      </c>
      <c r="I25" s="27" t="str">
        <f aca="false">IFERROR(INDEX(X投稿ログ!B117:B121,MATCH(MAX(X投稿ログ!G117:G121),X投稿ログ!G117:G121,0)),"")</f>
        <v/>
      </c>
      <c r="J25" s="27" t="str">
        <f aca="false">IFERROR(INDEX(X投稿ログ!C117:C121,MATCH(MAX(X投稿ログ!G117:G121),X投稿ログ!G117:G121,0)),"")</f>
        <v/>
      </c>
      <c r="K25" s="27" t="str">
        <f aca="false">IFERROR(Xフォロワー推移!C25,"")</f>
        <v/>
      </c>
      <c r="L25" s="27"/>
      <c r="M25" s="27"/>
    </row>
    <row r="26" customFormat="false" ht="15" hidden="false" customHeight="true" outlineLevel="0" collapsed="false">
      <c r="A26" s="33" t="s">
        <v>91</v>
      </c>
      <c r="B26" s="34" t="s">
        <v>196</v>
      </c>
      <c r="C26" s="33" t="n">
        <f aca="false">COUNTA(X投稿ログ!G122:G126)</f>
        <v>0</v>
      </c>
      <c r="D26" s="35" t="n">
        <f aca="false">SUM(X投稿ログ!G122:G126)</f>
        <v>0</v>
      </c>
      <c r="E26" s="35" t="n">
        <f aca="false">SUM(X投稿ログ!H122:H126)</f>
        <v>0</v>
      </c>
      <c r="F26" s="33" t="n">
        <f aca="false">SUM(X投稿ログ!I122:I126)</f>
        <v>0</v>
      </c>
      <c r="G26" s="33" t="n">
        <f aca="false">SUM(X投稿ログ!J122:J126)</f>
        <v>0</v>
      </c>
      <c r="H26" s="36" t="str">
        <f aca="false">IFERROR(E26/D26,"")</f>
        <v/>
      </c>
      <c r="I26" s="33" t="str">
        <f aca="false">IFERROR(INDEX(X投稿ログ!B122:B126,MATCH(MAX(X投稿ログ!G122:G126),X投稿ログ!G122:G126,0)),"")</f>
        <v/>
      </c>
      <c r="J26" s="33" t="str">
        <f aca="false">IFERROR(INDEX(X投稿ログ!C122:C126,MATCH(MAX(X投稿ログ!G122:G126),X投稿ログ!G122:G126,0)),"")</f>
        <v/>
      </c>
      <c r="K26" s="33" t="str">
        <f aca="false">IFERROR(Xフォロワー推移!C26,"")</f>
        <v/>
      </c>
      <c r="L26" s="33"/>
      <c r="M26" s="33"/>
    </row>
    <row r="27" customFormat="false" ht="15" hidden="false" customHeight="true" outlineLevel="0" collapsed="false">
      <c r="A27" s="33" t="s">
        <v>92</v>
      </c>
      <c r="B27" s="34" t="s">
        <v>197</v>
      </c>
      <c r="C27" s="33" t="n">
        <f aca="false">COUNTA(X投稿ログ!G127:G131)</f>
        <v>0</v>
      </c>
      <c r="D27" s="35" t="n">
        <f aca="false">SUM(X投稿ログ!G127:G131)</f>
        <v>0</v>
      </c>
      <c r="E27" s="35" t="n">
        <f aca="false">SUM(X投稿ログ!H127:H131)</f>
        <v>0</v>
      </c>
      <c r="F27" s="33" t="n">
        <f aca="false">SUM(X投稿ログ!I127:I131)</f>
        <v>0</v>
      </c>
      <c r="G27" s="33" t="n">
        <f aca="false">SUM(X投稿ログ!J127:J131)</f>
        <v>0</v>
      </c>
      <c r="H27" s="36" t="str">
        <f aca="false">IFERROR(E27/D27,"")</f>
        <v/>
      </c>
      <c r="I27" s="33" t="str">
        <f aca="false">IFERROR(INDEX(X投稿ログ!B127:B131,MATCH(MAX(X投稿ログ!G127:G131),X投稿ログ!G127:G131,0)),"")</f>
        <v/>
      </c>
      <c r="J27" s="33" t="str">
        <f aca="false">IFERROR(INDEX(X投稿ログ!C127:C131,MATCH(MAX(X投稿ログ!G127:G131),X投稿ログ!G127:G131,0)),"")</f>
        <v/>
      </c>
      <c r="K27" s="33" t="str">
        <f aca="false">IFERROR(Xフォロワー推移!C27,"")</f>
        <v/>
      </c>
      <c r="L27" s="33"/>
      <c r="M27" s="33"/>
    </row>
    <row r="28" customFormat="false" ht="15" hidden="false" customHeight="true" outlineLevel="0" collapsed="false">
      <c r="A28" s="22" t="s">
        <v>93</v>
      </c>
      <c r="B28" s="23" t="s">
        <v>198</v>
      </c>
      <c r="C28" s="22" t="n">
        <f aca="false">COUNTA(X投稿ログ!G132:G136)</f>
        <v>0</v>
      </c>
      <c r="D28" s="26" t="n">
        <f aca="false">SUM(X投稿ログ!G132:G136)</f>
        <v>0</v>
      </c>
      <c r="E28" s="26" t="n">
        <f aca="false">SUM(X投稿ログ!H132:H136)</f>
        <v>0</v>
      </c>
      <c r="F28" s="22" t="n">
        <f aca="false">SUM(X投稿ログ!I132:I136)</f>
        <v>0</v>
      </c>
      <c r="G28" s="22" t="n">
        <f aca="false">SUM(X投稿ログ!J132:J136)</f>
        <v>0</v>
      </c>
      <c r="H28" s="24" t="str">
        <f aca="false">IFERROR(E28/D28,"")</f>
        <v/>
      </c>
      <c r="I28" s="22" t="str">
        <f aca="false">IFERROR(INDEX(X投稿ログ!B132:B136,MATCH(MAX(X投稿ログ!G132:G136),X投稿ログ!G132:G136,0)),"")</f>
        <v/>
      </c>
      <c r="J28" s="22" t="str">
        <f aca="false">IFERROR(INDEX(X投稿ログ!C132:C136,MATCH(MAX(X投稿ログ!G132:G136),X投稿ログ!G132:G136,0)),"")</f>
        <v/>
      </c>
      <c r="K28" s="22" t="str">
        <f aca="false">IFERROR(Xフォロワー推移!C28,"")</f>
        <v/>
      </c>
      <c r="L28" s="22"/>
      <c r="M28" s="22"/>
    </row>
    <row r="29" customFormat="false" ht="15" hidden="false" customHeight="true" outlineLevel="0" collapsed="false">
      <c r="A29" s="27" t="s">
        <v>94</v>
      </c>
      <c r="B29" s="28" t="s">
        <v>199</v>
      </c>
      <c r="C29" s="27" t="n">
        <f aca="false">COUNTA(X投稿ログ!G137:G141)</f>
        <v>0</v>
      </c>
      <c r="D29" s="31" t="n">
        <f aca="false">SUM(X投稿ログ!G137:G141)</f>
        <v>0</v>
      </c>
      <c r="E29" s="31" t="n">
        <f aca="false">SUM(X投稿ログ!H137:H141)</f>
        <v>0</v>
      </c>
      <c r="F29" s="27" t="n">
        <f aca="false">SUM(X投稿ログ!I137:I141)</f>
        <v>0</v>
      </c>
      <c r="G29" s="27" t="n">
        <f aca="false">SUM(X投稿ログ!J137:J141)</f>
        <v>0</v>
      </c>
      <c r="H29" s="29" t="str">
        <f aca="false">IFERROR(E29/D29,"")</f>
        <v/>
      </c>
      <c r="I29" s="27" t="str">
        <f aca="false">IFERROR(INDEX(X投稿ログ!B137:B141,MATCH(MAX(X投稿ログ!G137:G141),X投稿ログ!G137:G141,0)),"")</f>
        <v/>
      </c>
      <c r="J29" s="27" t="str">
        <f aca="false">IFERROR(INDEX(X投稿ログ!C137:C141,MATCH(MAX(X投稿ログ!G137:G141),X投稿ログ!G137:G141,0)),"")</f>
        <v/>
      </c>
      <c r="K29" s="27" t="str">
        <f aca="false">IFERROR(Xフォロワー推移!C29,"")</f>
        <v/>
      </c>
      <c r="L29" s="27"/>
      <c r="M29" s="27"/>
    </row>
    <row r="30" customFormat="false" ht="15" hidden="false" customHeight="true" outlineLevel="0" collapsed="false">
      <c r="A30" s="22" t="s">
        <v>95</v>
      </c>
      <c r="B30" s="23" t="s">
        <v>193</v>
      </c>
      <c r="C30" s="22" t="n">
        <f aca="false">COUNTA(X投稿ログ!G142:G146)</f>
        <v>0</v>
      </c>
      <c r="D30" s="26" t="n">
        <f aca="false">SUM(X投稿ログ!G142:G146)</f>
        <v>0</v>
      </c>
      <c r="E30" s="26" t="n">
        <f aca="false">SUM(X投稿ログ!H142:H146)</f>
        <v>0</v>
      </c>
      <c r="F30" s="22" t="n">
        <f aca="false">SUM(X投稿ログ!I142:I146)</f>
        <v>0</v>
      </c>
      <c r="G30" s="22" t="n">
        <f aca="false">SUM(X投稿ログ!J142:J146)</f>
        <v>0</v>
      </c>
      <c r="H30" s="24" t="str">
        <f aca="false">IFERROR(E30/D30,"")</f>
        <v/>
      </c>
      <c r="I30" s="22" t="str">
        <f aca="false">IFERROR(INDEX(X投稿ログ!B142:B146,MATCH(MAX(X投稿ログ!G142:G146),X投稿ログ!G142:G146,0)),"")</f>
        <v/>
      </c>
      <c r="J30" s="22" t="str">
        <f aca="false">IFERROR(INDEX(X投稿ログ!C142:C146,MATCH(MAX(X投稿ログ!G142:G146),X投稿ログ!G142:G146,0)),"")</f>
        <v/>
      </c>
      <c r="K30" s="22" t="str">
        <f aca="false">IFERROR(Xフォロワー推移!C30,"")</f>
        <v/>
      </c>
      <c r="L30" s="22"/>
      <c r="M30" s="22"/>
    </row>
    <row r="31" customFormat="false" ht="15" hidden="false" customHeight="true" outlineLevel="0" collapsed="false">
      <c r="A31" s="27" t="s">
        <v>96</v>
      </c>
      <c r="B31" s="28" t="s">
        <v>194</v>
      </c>
      <c r="C31" s="27" t="n">
        <f aca="false">COUNTA(X投稿ログ!G147:G151)</f>
        <v>0</v>
      </c>
      <c r="D31" s="31" t="n">
        <f aca="false">SUM(X投稿ログ!G147:G151)</f>
        <v>0</v>
      </c>
      <c r="E31" s="31" t="n">
        <f aca="false">SUM(X投稿ログ!H147:H151)</f>
        <v>0</v>
      </c>
      <c r="F31" s="27" t="n">
        <f aca="false">SUM(X投稿ログ!I147:I151)</f>
        <v>0</v>
      </c>
      <c r="G31" s="27" t="n">
        <f aca="false">SUM(X投稿ログ!J147:J151)</f>
        <v>0</v>
      </c>
      <c r="H31" s="29" t="str">
        <f aca="false">IFERROR(E31/D31,"")</f>
        <v/>
      </c>
      <c r="I31" s="27" t="str">
        <f aca="false">IFERROR(INDEX(X投稿ログ!B147:B151,MATCH(MAX(X投稿ログ!G147:G151),X投稿ログ!G147:G151,0)),"")</f>
        <v/>
      </c>
      <c r="J31" s="27" t="str">
        <f aca="false">IFERROR(INDEX(X投稿ログ!C147:C151,MATCH(MAX(X投稿ログ!G147:G151),X投稿ログ!G147:G151,0)),"")</f>
        <v/>
      </c>
      <c r="K31" s="27" t="str">
        <f aca="false">IFERROR(Xフォロワー推移!C31,"")</f>
        <v/>
      </c>
      <c r="L31" s="27"/>
      <c r="M31" s="27"/>
    </row>
    <row r="32" customFormat="false" ht="15" hidden="false" customHeight="true" outlineLevel="0" collapsed="false">
      <c r="A32" s="22" t="s">
        <v>97</v>
      </c>
      <c r="B32" s="23" t="s">
        <v>195</v>
      </c>
      <c r="C32" s="22" t="n">
        <f aca="false">COUNTA(X投稿ログ!G152:G156)</f>
        <v>0</v>
      </c>
      <c r="D32" s="26" t="n">
        <f aca="false">SUM(X投稿ログ!G152:G156)</f>
        <v>0</v>
      </c>
      <c r="E32" s="26" t="n">
        <f aca="false">SUM(X投稿ログ!H152:H156)</f>
        <v>0</v>
      </c>
      <c r="F32" s="22" t="n">
        <f aca="false">SUM(X投稿ログ!I152:I156)</f>
        <v>0</v>
      </c>
      <c r="G32" s="22" t="n">
        <f aca="false">SUM(X投稿ログ!J152:J156)</f>
        <v>0</v>
      </c>
      <c r="H32" s="24" t="str">
        <f aca="false">IFERROR(E32/D32,"")</f>
        <v/>
      </c>
      <c r="I32" s="22" t="str">
        <f aca="false">IFERROR(INDEX(X投稿ログ!B152:B156,MATCH(MAX(X投稿ログ!G152:G156),X投稿ログ!G152:G156,0)),"")</f>
        <v/>
      </c>
      <c r="J32" s="22" t="str">
        <f aca="false">IFERROR(INDEX(X投稿ログ!C152:C156,MATCH(MAX(X投稿ログ!G152:G156),X投稿ログ!G152:G156,0)),"")</f>
        <v/>
      </c>
      <c r="K32" s="22" t="str">
        <f aca="false">IFERROR(Xフォロワー推移!C32,"")</f>
        <v/>
      </c>
      <c r="L32" s="22"/>
      <c r="M32" s="22"/>
    </row>
    <row r="33" customFormat="false" ht="15" hidden="false" customHeight="true" outlineLevel="0" collapsed="false">
      <c r="A33" s="33" t="s">
        <v>98</v>
      </c>
      <c r="B33" s="34" t="s">
        <v>196</v>
      </c>
      <c r="C33" s="33" t="n">
        <f aca="false">COUNTA(X投稿ログ!G157:G161)</f>
        <v>0</v>
      </c>
      <c r="D33" s="35" t="n">
        <f aca="false">SUM(X投稿ログ!G157:G161)</f>
        <v>0</v>
      </c>
      <c r="E33" s="35" t="n">
        <f aca="false">SUM(X投稿ログ!H157:H161)</f>
        <v>0</v>
      </c>
      <c r="F33" s="33" t="n">
        <f aca="false">SUM(X投稿ログ!I157:I161)</f>
        <v>0</v>
      </c>
      <c r="G33" s="33" t="n">
        <f aca="false">SUM(X投稿ログ!J157:J161)</f>
        <v>0</v>
      </c>
      <c r="H33" s="36" t="str">
        <f aca="false">IFERROR(E33/D33,"")</f>
        <v/>
      </c>
      <c r="I33" s="33" t="str">
        <f aca="false">IFERROR(INDEX(X投稿ログ!B157:B161,MATCH(MAX(X投稿ログ!G157:G161),X投稿ログ!G157:G161,0)),"")</f>
        <v/>
      </c>
      <c r="J33" s="33" t="str">
        <f aca="false">IFERROR(INDEX(X投稿ログ!C157:C161,MATCH(MAX(X投稿ログ!G157:G161),X投稿ログ!G157:G161,0)),"")</f>
        <v/>
      </c>
      <c r="K33" s="33" t="str">
        <f aca="false">IFERROR(Xフォロワー推移!C33,"")</f>
        <v/>
      </c>
      <c r="L33" s="33"/>
      <c r="M33" s="33"/>
    </row>
    <row r="34" customFormat="false" ht="15" hidden="false" customHeight="true" outlineLevel="0" collapsed="false">
      <c r="A34" s="33" t="s">
        <v>99</v>
      </c>
      <c r="B34" s="34" t="s">
        <v>197</v>
      </c>
      <c r="C34" s="33" t="n">
        <f aca="false">COUNTA(X投稿ログ!G162:G166)</f>
        <v>0</v>
      </c>
      <c r="D34" s="35" t="n">
        <f aca="false">SUM(X投稿ログ!G162:G166)</f>
        <v>0</v>
      </c>
      <c r="E34" s="35" t="n">
        <f aca="false">SUM(X投稿ログ!H162:H166)</f>
        <v>0</v>
      </c>
      <c r="F34" s="33" t="n">
        <f aca="false">SUM(X投稿ログ!I162:I166)</f>
        <v>0</v>
      </c>
      <c r="G34" s="33" t="n">
        <f aca="false">SUM(X投稿ログ!J162:J166)</f>
        <v>0</v>
      </c>
      <c r="H34" s="36" t="str">
        <f aca="false">IFERROR(E34/D34,"")</f>
        <v/>
      </c>
      <c r="I34" s="33" t="str">
        <f aca="false">IFERROR(INDEX(X投稿ログ!B162:B166,MATCH(MAX(X投稿ログ!G162:G166),X投稿ログ!G162:G166,0)),"")</f>
        <v/>
      </c>
      <c r="J34" s="33" t="str">
        <f aca="false">IFERROR(INDEX(X投稿ログ!C162:C166,MATCH(MAX(X投稿ログ!G162:G166),X投稿ログ!G162:G166,0)),"")</f>
        <v/>
      </c>
      <c r="K34" s="33" t="str">
        <f aca="false">IFERROR(Xフォロワー推移!C34,"")</f>
        <v/>
      </c>
      <c r="L34" s="33"/>
      <c r="M34" s="33"/>
    </row>
    <row r="35" customFormat="false" ht="15" hidden="false" customHeight="true" outlineLevel="0" collapsed="false">
      <c r="A35" s="27" t="s">
        <v>100</v>
      </c>
      <c r="B35" s="28" t="s">
        <v>198</v>
      </c>
      <c r="C35" s="27" t="n">
        <f aca="false">COUNTA(X投稿ログ!G167:G171)</f>
        <v>0</v>
      </c>
      <c r="D35" s="31" t="n">
        <f aca="false">SUM(X投稿ログ!G167:G171)</f>
        <v>0</v>
      </c>
      <c r="E35" s="31" t="n">
        <f aca="false">SUM(X投稿ログ!H167:H171)</f>
        <v>0</v>
      </c>
      <c r="F35" s="27" t="n">
        <f aca="false">SUM(X投稿ログ!I167:I171)</f>
        <v>0</v>
      </c>
      <c r="G35" s="27" t="n">
        <f aca="false">SUM(X投稿ログ!J167:J171)</f>
        <v>0</v>
      </c>
      <c r="H35" s="29" t="str">
        <f aca="false">IFERROR(E35/D35,"")</f>
        <v/>
      </c>
      <c r="I35" s="27" t="str">
        <f aca="false">IFERROR(INDEX(X投稿ログ!B167:B171,MATCH(MAX(X投稿ログ!G167:G171),X投稿ログ!G167:G171,0)),"")</f>
        <v/>
      </c>
      <c r="J35" s="27" t="str">
        <f aca="false">IFERROR(INDEX(X投稿ログ!C167:C171,MATCH(MAX(X投稿ログ!G167:G171),X投稿ログ!G167:G171,0)),"")</f>
        <v/>
      </c>
      <c r="K35" s="27" t="str">
        <f aca="false">IFERROR(Xフォロワー推移!C35,"")</f>
        <v/>
      </c>
      <c r="L35" s="27"/>
      <c r="M35" s="27"/>
    </row>
    <row r="36" customFormat="false" ht="15" hidden="false" customHeight="true" outlineLevel="0" collapsed="false">
      <c r="A36" s="22" t="s">
        <v>101</v>
      </c>
      <c r="B36" s="23" t="s">
        <v>199</v>
      </c>
      <c r="C36" s="22" t="n">
        <f aca="false">COUNTA(X投稿ログ!G172:G176)</f>
        <v>0</v>
      </c>
      <c r="D36" s="26" t="n">
        <f aca="false">SUM(X投稿ログ!G172:G176)</f>
        <v>0</v>
      </c>
      <c r="E36" s="26" t="n">
        <f aca="false">SUM(X投稿ログ!H172:H176)</f>
        <v>0</v>
      </c>
      <c r="F36" s="22" t="n">
        <f aca="false">SUM(X投稿ログ!I172:I176)</f>
        <v>0</v>
      </c>
      <c r="G36" s="22" t="n">
        <f aca="false">SUM(X投稿ログ!J172:J176)</f>
        <v>0</v>
      </c>
      <c r="H36" s="24" t="str">
        <f aca="false">IFERROR(E36/D36,"")</f>
        <v/>
      </c>
      <c r="I36" s="22" t="str">
        <f aca="false">IFERROR(INDEX(X投稿ログ!B172:B176,MATCH(MAX(X投稿ログ!G172:G176),X投稿ログ!G172:G176,0)),"")</f>
        <v/>
      </c>
      <c r="J36" s="22" t="str">
        <f aca="false">IFERROR(INDEX(X投稿ログ!C172:C176,MATCH(MAX(X投稿ログ!G172:G176),X投稿ログ!G172:G176,0)),"")</f>
        <v/>
      </c>
      <c r="K36" s="22" t="str">
        <f aca="false">IFERROR(Xフォロワー推移!C36,"")</f>
        <v/>
      </c>
      <c r="L36" s="22"/>
      <c r="M36" s="22"/>
    </row>
    <row r="37" customFormat="false" ht="15" hidden="false" customHeight="true" outlineLevel="0" collapsed="false">
      <c r="A37" s="27" t="s">
        <v>102</v>
      </c>
      <c r="B37" s="28" t="s">
        <v>193</v>
      </c>
      <c r="C37" s="27" t="n">
        <f aca="false">COUNTA(X投稿ログ!G177:G181)</f>
        <v>0</v>
      </c>
      <c r="D37" s="31" t="n">
        <f aca="false">SUM(X投稿ログ!G177:G181)</f>
        <v>0</v>
      </c>
      <c r="E37" s="31" t="n">
        <f aca="false">SUM(X投稿ログ!H177:H181)</f>
        <v>0</v>
      </c>
      <c r="F37" s="27" t="n">
        <f aca="false">SUM(X投稿ログ!I177:I181)</f>
        <v>0</v>
      </c>
      <c r="G37" s="27" t="n">
        <f aca="false">SUM(X投稿ログ!J177:J181)</f>
        <v>0</v>
      </c>
      <c r="H37" s="29" t="str">
        <f aca="false">IFERROR(E37/D37,"")</f>
        <v/>
      </c>
      <c r="I37" s="27" t="str">
        <f aca="false">IFERROR(INDEX(X投稿ログ!B177:B181,MATCH(MAX(X投稿ログ!G177:G181),X投稿ログ!G177:G181,0)),"")</f>
        <v/>
      </c>
      <c r="J37" s="27" t="str">
        <f aca="false">IFERROR(INDEX(X投稿ログ!C177:C181,MATCH(MAX(X投稿ログ!G177:G181),X投稿ログ!G177:G181,0)),"")</f>
        <v/>
      </c>
      <c r="K37" s="27" t="str">
        <f aca="false">IFERROR(Xフォロワー推移!C37,"")</f>
        <v/>
      </c>
      <c r="L37" s="27"/>
      <c r="M37" s="27"/>
    </row>
    <row r="38" customFormat="false" ht="15" hidden="false" customHeight="true" outlineLevel="0" collapsed="false">
      <c r="A38" s="22" t="s">
        <v>103</v>
      </c>
      <c r="B38" s="23" t="s">
        <v>194</v>
      </c>
      <c r="C38" s="22" t="n">
        <f aca="false">COUNTA(X投稿ログ!G182:G186)</f>
        <v>0</v>
      </c>
      <c r="D38" s="26" t="n">
        <f aca="false">SUM(X投稿ログ!G182:G186)</f>
        <v>0</v>
      </c>
      <c r="E38" s="26" t="n">
        <f aca="false">SUM(X投稿ログ!H182:H186)</f>
        <v>0</v>
      </c>
      <c r="F38" s="22" t="n">
        <f aca="false">SUM(X投稿ログ!I182:I186)</f>
        <v>0</v>
      </c>
      <c r="G38" s="22" t="n">
        <f aca="false">SUM(X投稿ログ!J182:J186)</f>
        <v>0</v>
      </c>
      <c r="H38" s="24" t="str">
        <f aca="false">IFERROR(E38/D38,"")</f>
        <v/>
      </c>
      <c r="I38" s="22" t="str">
        <f aca="false">IFERROR(INDEX(X投稿ログ!B182:B186,MATCH(MAX(X投稿ログ!G182:G186),X投稿ログ!G182:G186,0)),"")</f>
        <v/>
      </c>
      <c r="J38" s="22" t="str">
        <f aca="false">IFERROR(INDEX(X投稿ログ!C182:C186,MATCH(MAX(X投稿ログ!G182:G186),X投稿ログ!G182:G186,0)),"")</f>
        <v/>
      </c>
      <c r="K38" s="22" t="str">
        <f aca="false">IFERROR(Xフォロワー推移!C38,"")</f>
        <v/>
      </c>
      <c r="L38" s="22"/>
      <c r="M38" s="22"/>
    </row>
    <row r="39" customFormat="false" ht="15" hidden="false" customHeight="true" outlineLevel="0" collapsed="false">
      <c r="A39" s="27" t="s">
        <v>104</v>
      </c>
      <c r="B39" s="28" t="s">
        <v>195</v>
      </c>
      <c r="C39" s="27" t="n">
        <f aca="false">COUNTA(X投稿ログ!G187:G191)</f>
        <v>0</v>
      </c>
      <c r="D39" s="31" t="n">
        <f aca="false">SUM(X投稿ログ!G187:G191)</f>
        <v>0</v>
      </c>
      <c r="E39" s="31" t="n">
        <f aca="false">SUM(X投稿ログ!H187:H191)</f>
        <v>0</v>
      </c>
      <c r="F39" s="27" t="n">
        <f aca="false">SUM(X投稿ログ!I187:I191)</f>
        <v>0</v>
      </c>
      <c r="G39" s="27" t="n">
        <f aca="false">SUM(X投稿ログ!J187:J191)</f>
        <v>0</v>
      </c>
      <c r="H39" s="29" t="str">
        <f aca="false">IFERROR(E39/D39,"")</f>
        <v/>
      </c>
      <c r="I39" s="27" t="str">
        <f aca="false">IFERROR(INDEX(X投稿ログ!B187:B191,MATCH(MAX(X投稿ログ!G187:G191),X投稿ログ!G187:G191,0)),"")</f>
        <v/>
      </c>
      <c r="J39" s="27" t="str">
        <f aca="false">IFERROR(INDEX(X投稿ログ!C187:C191,MATCH(MAX(X投稿ログ!G187:G191),X投稿ログ!G187:G191,0)),"")</f>
        <v/>
      </c>
      <c r="K39" s="27" t="str">
        <f aca="false">IFERROR(Xフォロワー推移!C39,"")</f>
        <v/>
      </c>
      <c r="L39" s="27"/>
      <c r="M39" s="27"/>
    </row>
    <row r="40" customFormat="false" ht="15" hidden="false" customHeight="true" outlineLevel="0" collapsed="false">
      <c r="A40" s="33" t="s">
        <v>105</v>
      </c>
      <c r="B40" s="34" t="s">
        <v>196</v>
      </c>
      <c r="C40" s="33" t="n">
        <f aca="false">COUNTA(X投稿ログ!G192:G196)</f>
        <v>0</v>
      </c>
      <c r="D40" s="35" t="n">
        <f aca="false">SUM(X投稿ログ!G192:G196)</f>
        <v>0</v>
      </c>
      <c r="E40" s="35" t="n">
        <f aca="false">SUM(X投稿ログ!H192:H196)</f>
        <v>0</v>
      </c>
      <c r="F40" s="33" t="n">
        <f aca="false">SUM(X投稿ログ!I192:I196)</f>
        <v>0</v>
      </c>
      <c r="G40" s="33" t="n">
        <f aca="false">SUM(X投稿ログ!J192:J196)</f>
        <v>0</v>
      </c>
      <c r="H40" s="36" t="str">
        <f aca="false">IFERROR(E40/D40,"")</f>
        <v/>
      </c>
      <c r="I40" s="33" t="str">
        <f aca="false">IFERROR(INDEX(X投稿ログ!B192:B196,MATCH(MAX(X投稿ログ!G192:G196),X投稿ログ!G192:G196,0)),"")</f>
        <v/>
      </c>
      <c r="J40" s="33" t="str">
        <f aca="false">IFERROR(INDEX(X投稿ログ!C192:C196,MATCH(MAX(X投稿ログ!G192:G196),X投稿ログ!G192:G196,0)),"")</f>
        <v/>
      </c>
      <c r="K40" s="33" t="str">
        <f aca="false">IFERROR(Xフォロワー推移!C40,"")</f>
        <v/>
      </c>
      <c r="L40" s="33"/>
      <c r="M40" s="33"/>
    </row>
    <row r="41" customFormat="false" ht="15" hidden="false" customHeight="true" outlineLevel="0" collapsed="false">
      <c r="A41" s="33" t="s">
        <v>106</v>
      </c>
      <c r="B41" s="34" t="s">
        <v>197</v>
      </c>
      <c r="C41" s="33" t="n">
        <f aca="false">COUNTA(X投稿ログ!G197:G201)</f>
        <v>0</v>
      </c>
      <c r="D41" s="35" t="n">
        <f aca="false">SUM(X投稿ログ!G197:G201)</f>
        <v>0</v>
      </c>
      <c r="E41" s="35" t="n">
        <f aca="false">SUM(X投稿ログ!H197:H201)</f>
        <v>0</v>
      </c>
      <c r="F41" s="33" t="n">
        <f aca="false">SUM(X投稿ログ!I197:I201)</f>
        <v>0</v>
      </c>
      <c r="G41" s="33" t="n">
        <f aca="false">SUM(X投稿ログ!J197:J201)</f>
        <v>0</v>
      </c>
      <c r="H41" s="36" t="str">
        <f aca="false">IFERROR(E41/D41,"")</f>
        <v/>
      </c>
      <c r="I41" s="33" t="str">
        <f aca="false">IFERROR(INDEX(X投稿ログ!B197:B201,MATCH(MAX(X投稿ログ!G197:G201),X投稿ログ!G197:G201,0)),"")</f>
        <v/>
      </c>
      <c r="J41" s="33" t="str">
        <f aca="false">IFERROR(INDEX(X投稿ログ!C197:C201,MATCH(MAX(X投稿ログ!G197:G201),X投稿ログ!G197:G201,0)),"")</f>
        <v/>
      </c>
      <c r="K41" s="33" t="str">
        <f aca="false">IFERROR(Xフォロワー推移!C41,"")</f>
        <v/>
      </c>
      <c r="L41" s="33"/>
      <c r="M41" s="33"/>
    </row>
    <row r="42" customFormat="false" ht="15" hidden="false" customHeight="true" outlineLevel="0" collapsed="false">
      <c r="A42" s="22" t="s">
        <v>107</v>
      </c>
      <c r="B42" s="23" t="s">
        <v>198</v>
      </c>
      <c r="C42" s="22" t="n">
        <f aca="false">COUNTA(X投稿ログ!G202:G206)</f>
        <v>0</v>
      </c>
      <c r="D42" s="26" t="n">
        <f aca="false">SUM(X投稿ログ!G202:G206)</f>
        <v>0</v>
      </c>
      <c r="E42" s="26" t="n">
        <f aca="false">SUM(X投稿ログ!H202:H206)</f>
        <v>0</v>
      </c>
      <c r="F42" s="22" t="n">
        <f aca="false">SUM(X投稿ログ!I202:I206)</f>
        <v>0</v>
      </c>
      <c r="G42" s="22" t="n">
        <f aca="false">SUM(X投稿ログ!J202:J206)</f>
        <v>0</v>
      </c>
      <c r="H42" s="24" t="str">
        <f aca="false">IFERROR(E42/D42,"")</f>
        <v/>
      </c>
      <c r="I42" s="22" t="str">
        <f aca="false">IFERROR(INDEX(X投稿ログ!B202:B206,MATCH(MAX(X投稿ログ!G202:G206),X投稿ログ!G202:G206,0)),"")</f>
        <v/>
      </c>
      <c r="J42" s="22" t="str">
        <f aca="false">IFERROR(INDEX(X投稿ログ!C202:C206,MATCH(MAX(X投稿ログ!G202:G206),X投稿ログ!G202:G206,0)),"")</f>
        <v/>
      </c>
      <c r="K42" s="22" t="str">
        <f aca="false">IFERROR(Xフォロワー推移!C42,"")</f>
        <v/>
      </c>
      <c r="L42" s="22"/>
      <c r="M42" s="22"/>
    </row>
    <row r="43" customFormat="false" ht="15" hidden="false" customHeight="true" outlineLevel="0" collapsed="false">
      <c r="A43" s="27" t="s">
        <v>108</v>
      </c>
      <c r="B43" s="28" t="s">
        <v>199</v>
      </c>
      <c r="C43" s="27" t="n">
        <f aca="false">COUNTA(X投稿ログ!G207:G211)</f>
        <v>0</v>
      </c>
      <c r="D43" s="31" t="n">
        <f aca="false">SUM(X投稿ログ!G207:G211)</f>
        <v>0</v>
      </c>
      <c r="E43" s="31" t="n">
        <f aca="false">SUM(X投稿ログ!H207:H211)</f>
        <v>0</v>
      </c>
      <c r="F43" s="27" t="n">
        <f aca="false">SUM(X投稿ログ!I207:I211)</f>
        <v>0</v>
      </c>
      <c r="G43" s="27" t="n">
        <f aca="false">SUM(X投稿ログ!J207:J211)</f>
        <v>0</v>
      </c>
      <c r="H43" s="29" t="str">
        <f aca="false">IFERROR(E43/D43,"")</f>
        <v/>
      </c>
      <c r="I43" s="27" t="str">
        <f aca="false">IFERROR(INDEX(X投稿ログ!B207:B211,MATCH(MAX(X投稿ログ!G207:G211),X投稿ログ!G207:G211,0)),"")</f>
        <v/>
      </c>
      <c r="J43" s="27" t="str">
        <f aca="false">IFERROR(INDEX(X投稿ログ!C207:C211,MATCH(MAX(X投稿ログ!G207:G211),X投稿ログ!G207:G211,0)),"")</f>
        <v/>
      </c>
      <c r="K43" s="27" t="str">
        <f aca="false">IFERROR(Xフォロワー推移!C43,"")</f>
        <v/>
      </c>
      <c r="L43" s="27"/>
      <c r="M43" s="27"/>
    </row>
    <row r="44" customFormat="false" ht="15" hidden="false" customHeight="true" outlineLevel="0" collapsed="false">
      <c r="A44" s="22" t="s">
        <v>109</v>
      </c>
      <c r="B44" s="23" t="s">
        <v>193</v>
      </c>
      <c r="C44" s="22" t="n">
        <f aca="false">COUNTA(X投稿ログ!G212:G216)</f>
        <v>0</v>
      </c>
      <c r="D44" s="26" t="n">
        <f aca="false">SUM(X投稿ログ!G212:G216)</f>
        <v>0</v>
      </c>
      <c r="E44" s="26" t="n">
        <f aca="false">SUM(X投稿ログ!H212:H216)</f>
        <v>0</v>
      </c>
      <c r="F44" s="22" t="n">
        <f aca="false">SUM(X投稿ログ!I212:I216)</f>
        <v>0</v>
      </c>
      <c r="G44" s="22" t="n">
        <f aca="false">SUM(X投稿ログ!J212:J216)</f>
        <v>0</v>
      </c>
      <c r="H44" s="24" t="str">
        <f aca="false">IFERROR(E44/D44,"")</f>
        <v/>
      </c>
      <c r="I44" s="22" t="str">
        <f aca="false">IFERROR(INDEX(X投稿ログ!B212:B216,MATCH(MAX(X投稿ログ!G212:G216),X投稿ログ!G212:G216,0)),"")</f>
        <v/>
      </c>
      <c r="J44" s="22" t="str">
        <f aca="false">IFERROR(INDEX(X投稿ログ!C212:C216,MATCH(MAX(X投稿ログ!G212:G216),X投稿ログ!G212:G216,0)),"")</f>
        <v/>
      </c>
      <c r="K44" s="22" t="str">
        <f aca="false">IFERROR(Xフォロワー推移!C44,"")</f>
        <v/>
      </c>
      <c r="L44" s="22"/>
      <c r="M44" s="22"/>
    </row>
    <row r="45" customFormat="false" ht="15" hidden="false" customHeight="true" outlineLevel="0" collapsed="false">
      <c r="A45" s="27" t="s">
        <v>110</v>
      </c>
      <c r="B45" s="28" t="s">
        <v>194</v>
      </c>
      <c r="C45" s="27" t="n">
        <f aca="false">COUNTA(X投稿ログ!G217:G221)</f>
        <v>0</v>
      </c>
      <c r="D45" s="31" t="n">
        <f aca="false">SUM(X投稿ログ!G217:G221)</f>
        <v>0</v>
      </c>
      <c r="E45" s="31" t="n">
        <f aca="false">SUM(X投稿ログ!H217:H221)</f>
        <v>0</v>
      </c>
      <c r="F45" s="27" t="n">
        <f aca="false">SUM(X投稿ログ!I217:I221)</f>
        <v>0</v>
      </c>
      <c r="G45" s="27" t="n">
        <f aca="false">SUM(X投稿ログ!J217:J221)</f>
        <v>0</v>
      </c>
      <c r="H45" s="29" t="str">
        <f aca="false">IFERROR(E45/D45,"")</f>
        <v/>
      </c>
      <c r="I45" s="27" t="str">
        <f aca="false">IFERROR(INDEX(X投稿ログ!B217:B221,MATCH(MAX(X投稿ログ!G217:G221),X投稿ログ!G217:G221,0)),"")</f>
        <v/>
      </c>
      <c r="J45" s="27" t="str">
        <f aca="false">IFERROR(INDEX(X投稿ログ!C217:C221,MATCH(MAX(X投稿ログ!G217:G221),X投稿ログ!G217:G221,0)),"")</f>
        <v/>
      </c>
      <c r="K45" s="27" t="str">
        <f aca="false">IFERROR(Xフォロワー推移!C45,"")</f>
        <v/>
      </c>
      <c r="L45" s="27"/>
      <c r="M45" s="27"/>
    </row>
    <row r="46" customFormat="false" ht="15" hidden="false" customHeight="true" outlineLevel="0" collapsed="false">
      <c r="A46" s="22" t="s">
        <v>111</v>
      </c>
      <c r="B46" s="23" t="s">
        <v>195</v>
      </c>
      <c r="C46" s="22" t="n">
        <f aca="false">COUNTA(X投稿ログ!G222:G226)</f>
        <v>0</v>
      </c>
      <c r="D46" s="26" t="n">
        <f aca="false">SUM(X投稿ログ!G222:G226)</f>
        <v>0</v>
      </c>
      <c r="E46" s="26" t="n">
        <f aca="false">SUM(X投稿ログ!H222:H226)</f>
        <v>0</v>
      </c>
      <c r="F46" s="22" t="n">
        <f aca="false">SUM(X投稿ログ!I222:I226)</f>
        <v>0</v>
      </c>
      <c r="G46" s="22" t="n">
        <f aca="false">SUM(X投稿ログ!J222:J226)</f>
        <v>0</v>
      </c>
      <c r="H46" s="24" t="str">
        <f aca="false">IFERROR(E46/D46,"")</f>
        <v/>
      </c>
      <c r="I46" s="22" t="str">
        <f aca="false">IFERROR(INDEX(X投稿ログ!B222:B226,MATCH(MAX(X投稿ログ!G222:G226),X投稿ログ!G222:G226,0)),"")</f>
        <v/>
      </c>
      <c r="J46" s="22" t="str">
        <f aca="false">IFERROR(INDEX(X投稿ログ!C222:C226,MATCH(MAX(X投稿ログ!G222:G226),X投稿ログ!G222:G226,0)),"")</f>
        <v/>
      </c>
      <c r="K46" s="22" t="str">
        <f aca="false">IFERROR(Xフォロワー推移!C46,"")</f>
        <v/>
      </c>
      <c r="L46" s="22"/>
      <c r="M46" s="22"/>
    </row>
    <row r="47" customFormat="false" ht="15" hidden="false" customHeight="true" outlineLevel="0" collapsed="false">
      <c r="A47" s="33" t="s">
        <v>112</v>
      </c>
      <c r="B47" s="34" t="s">
        <v>196</v>
      </c>
      <c r="C47" s="33" t="n">
        <f aca="false">COUNTA(X投稿ログ!G227:G231)</f>
        <v>0</v>
      </c>
      <c r="D47" s="35" t="n">
        <f aca="false">SUM(X投稿ログ!G227:G231)</f>
        <v>0</v>
      </c>
      <c r="E47" s="35" t="n">
        <f aca="false">SUM(X投稿ログ!H227:H231)</f>
        <v>0</v>
      </c>
      <c r="F47" s="33" t="n">
        <f aca="false">SUM(X投稿ログ!I227:I231)</f>
        <v>0</v>
      </c>
      <c r="G47" s="33" t="n">
        <f aca="false">SUM(X投稿ログ!J227:J231)</f>
        <v>0</v>
      </c>
      <c r="H47" s="36" t="str">
        <f aca="false">IFERROR(E47/D47,"")</f>
        <v/>
      </c>
      <c r="I47" s="33" t="str">
        <f aca="false">IFERROR(INDEX(X投稿ログ!B227:B231,MATCH(MAX(X投稿ログ!G227:G231),X投稿ログ!G227:G231,0)),"")</f>
        <v/>
      </c>
      <c r="J47" s="33" t="str">
        <f aca="false">IFERROR(INDEX(X投稿ログ!C227:C231,MATCH(MAX(X投稿ログ!G227:G231),X投稿ログ!G227:G231,0)),"")</f>
        <v/>
      </c>
      <c r="K47" s="33" t="str">
        <f aca="false">IFERROR(Xフォロワー推移!C47,"")</f>
        <v/>
      </c>
      <c r="L47" s="33"/>
      <c r="M47" s="33"/>
    </row>
    <row r="48" customFormat="false" ht="15" hidden="false" customHeight="true" outlineLevel="0" collapsed="false">
      <c r="A48" s="33" t="s">
        <v>113</v>
      </c>
      <c r="B48" s="34" t="s">
        <v>197</v>
      </c>
      <c r="C48" s="33" t="n">
        <f aca="false">COUNTA(X投稿ログ!G232:G236)</f>
        <v>0</v>
      </c>
      <c r="D48" s="35" t="n">
        <f aca="false">SUM(X投稿ログ!G232:G236)</f>
        <v>0</v>
      </c>
      <c r="E48" s="35" t="n">
        <f aca="false">SUM(X投稿ログ!H232:H236)</f>
        <v>0</v>
      </c>
      <c r="F48" s="33" t="n">
        <f aca="false">SUM(X投稿ログ!I232:I236)</f>
        <v>0</v>
      </c>
      <c r="G48" s="33" t="n">
        <f aca="false">SUM(X投稿ログ!J232:J236)</f>
        <v>0</v>
      </c>
      <c r="H48" s="36" t="str">
        <f aca="false">IFERROR(E48/D48,"")</f>
        <v/>
      </c>
      <c r="I48" s="33" t="str">
        <f aca="false">IFERROR(INDEX(X投稿ログ!B232:B236,MATCH(MAX(X投稿ログ!G232:G236),X投稿ログ!G232:G236,0)),"")</f>
        <v/>
      </c>
      <c r="J48" s="33" t="str">
        <f aca="false">IFERROR(INDEX(X投稿ログ!C232:C236,MATCH(MAX(X投稿ログ!G232:G236),X投稿ログ!G232:G236,0)),"")</f>
        <v/>
      </c>
      <c r="K48" s="33" t="str">
        <f aca="false">IFERROR(Xフォロワー推移!C48,"")</f>
        <v/>
      </c>
      <c r="L48" s="33"/>
      <c r="M48" s="33"/>
    </row>
    <row r="49" customFormat="false" ht="15" hidden="false" customHeight="true" outlineLevel="0" collapsed="false">
      <c r="A49" s="27" t="s">
        <v>114</v>
      </c>
      <c r="B49" s="28" t="s">
        <v>198</v>
      </c>
      <c r="C49" s="27" t="n">
        <f aca="false">COUNTA(X投稿ログ!G237:G241)</f>
        <v>0</v>
      </c>
      <c r="D49" s="31" t="n">
        <f aca="false">SUM(X投稿ログ!G237:G241)</f>
        <v>0</v>
      </c>
      <c r="E49" s="31" t="n">
        <f aca="false">SUM(X投稿ログ!H237:H241)</f>
        <v>0</v>
      </c>
      <c r="F49" s="27" t="n">
        <f aca="false">SUM(X投稿ログ!I237:I241)</f>
        <v>0</v>
      </c>
      <c r="G49" s="27" t="n">
        <f aca="false">SUM(X投稿ログ!J237:J241)</f>
        <v>0</v>
      </c>
      <c r="H49" s="29" t="str">
        <f aca="false">IFERROR(E49/D49,"")</f>
        <v/>
      </c>
      <c r="I49" s="27" t="str">
        <f aca="false">IFERROR(INDEX(X投稿ログ!B237:B241,MATCH(MAX(X投稿ログ!G237:G241),X投稿ログ!G237:G241,0)),"")</f>
        <v/>
      </c>
      <c r="J49" s="27" t="str">
        <f aca="false">IFERROR(INDEX(X投稿ログ!C237:C241,MATCH(MAX(X投稿ログ!G237:G241),X投稿ログ!G237:G241,0)),"")</f>
        <v/>
      </c>
      <c r="K49" s="27" t="str">
        <f aca="false">IFERROR(Xフォロワー推移!C49,"")</f>
        <v/>
      </c>
      <c r="L49" s="27"/>
      <c r="M49" s="27"/>
    </row>
    <row r="50" customFormat="false" ht="15" hidden="false" customHeight="true" outlineLevel="0" collapsed="false">
      <c r="A50" s="22" t="s">
        <v>115</v>
      </c>
      <c r="B50" s="23" t="s">
        <v>199</v>
      </c>
      <c r="C50" s="22" t="n">
        <f aca="false">COUNTA(X投稿ログ!G242:G246)</f>
        <v>0</v>
      </c>
      <c r="D50" s="26" t="n">
        <f aca="false">SUM(X投稿ログ!G242:G246)</f>
        <v>0</v>
      </c>
      <c r="E50" s="26" t="n">
        <f aca="false">SUM(X投稿ログ!H242:H246)</f>
        <v>0</v>
      </c>
      <c r="F50" s="22" t="n">
        <f aca="false">SUM(X投稿ログ!I242:I246)</f>
        <v>0</v>
      </c>
      <c r="G50" s="22" t="n">
        <f aca="false">SUM(X投稿ログ!J242:J246)</f>
        <v>0</v>
      </c>
      <c r="H50" s="24" t="str">
        <f aca="false">IFERROR(E50/D50,"")</f>
        <v/>
      </c>
      <c r="I50" s="22" t="str">
        <f aca="false">IFERROR(INDEX(X投稿ログ!B242:B246,MATCH(MAX(X投稿ログ!G242:G246),X投稿ログ!G242:G246,0)),"")</f>
        <v/>
      </c>
      <c r="J50" s="22" t="str">
        <f aca="false">IFERROR(INDEX(X投稿ログ!C242:C246,MATCH(MAX(X投稿ログ!G242:G246),X投稿ログ!G242:G246,0)),"")</f>
        <v/>
      </c>
      <c r="K50" s="22" t="str">
        <f aca="false">IFERROR(Xフォロワー推移!C50,"")</f>
        <v/>
      </c>
      <c r="L50" s="22"/>
      <c r="M50" s="22"/>
    </row>
    <row r="51" customFormat="false" ht="15" hidden="false" customHeight="true" outlineLevel="0" collapsed="false">
      <c r="A51" s="27" t="s">
        <v>116</v>
      </c>
      <c r="B51" s="28" t="s">
        <v>193</v>
      </c>
      <c r="C51" s="27" t="n">
        <f aca="false">COUNTA(X投稿ログ!G247:G251)</f>
        <v>0</v>
      </c>
      <c r="D51" s="31" t="n">
        <f aca="false">SUM(X投稿ログ!G247:G251)</f>
        <v>0</v>
      </c>
      <c r="E51" s="31" t="n">
        <f aca="false">SUM(X投稿ログ!H247:H251)</f>
        <v>0</v>
      </c>
      <c r="F51" s="27" t="n">
        <f aca="false">SUM(X投稿ログ!I247:I251)</f>
        <v>0</v>
      </c>
      <c r="G51" s="27" t="n">
        <f aca="false">SUM(X投稿ログ!J247:J251)</f>
        <v>0</v>
      </c>
      <c r="H51" s="29" t="str">
        <f aca="false">IFERROR(E51/D51,"")</f>
        <v/>
      </c>
      <c r="I51" s="27" t="str">
        <f aca="false">IFERROR(INDEX(X投稿ログ!B247:B251,MATCH(MAX(X投稿ログ!G247:G251),X投稿ログ!G247:G251,0)),"")</f>
        <v/>
      </c>
      <c r="J51" s="27" t="str">
        <f aca="false">IFERROR(INDEX(X投稿ログ!C247:C251,MATCH(MAX(X投稿ログ!G247:G251),X投稿ログ!G247:G251,0)),"")</f>
        <v/>
      </c>
      <c r="K51" s="27" t="str">
        <f aca="false">IFERROR(Xフォロワー推移!C51,"")</f>
        <v/>
      </c>
      <c r="L51" s="27"/>
      <c r="M51" s="27"/>
    </row>
    <row r="52" customFormat="false" ht="15" hidden="false" customHeight="true" outlineLevel="0" collapsed="false">
      <c r="A52" s="22" t="s">
        <v>117</v>
      </c>
      <c r="B52" s="23" t="s">
        <v>194</v>
      </c>
      <c r="C52" s="22" t="n">
        <f aca="false">COUNTA(X投稿ログ!G252:G256)</f>
        <v>0</v>
      </c>
      <c r="D52" s="26" t="n">
        <f aca="false">SUM(X投稿ログ!G252:G256)</f>
        <v>0</v>
      </c>
      <c r="E52" s="26" t="n">
        <f aca="false">SUM(X投稿ログ!H252:H256)</f>
        <v>0</v>
      </c>
      <c r="F52" s="22" t="n">
        <f aca="false">SUM(X投稿ログ!I252:I256)</f>
        <v>0</v>
      </c>
      <c r="G52" s="22" t="n">
        <f aca="false">SUM(X投稿ログ!J252:J256)</f>
        <v>0</v>
      </c>
      <c r="H52" s="24" t="str">
        <f aca="false">IFERROR(E52/D52,"")</f>
        <v/>
      </c>
      <c r="I52" s="22" t="str">
        <f aca="false">IFERROR(INDEX(X投稿ログ!B252:B256,MATCH(MAX(X投稿ログ!G252:G256),X投稿ログ!G252:G256,0)),"")</f>
        <v/>
      </c>
      <c r="J52" s="22" t="str">
        <f aca="false">IFERROR(INDEX(X投稿ログ!C252:C256,MATCH(MAX(X投稿ログ!G252:G256),X投稿ログ!G252:G256,0)),"")</f>
        <v/>
      </c>
      <c r="K52" s="22" t="str">
        <f aca="false">IFERROR(Xフォロワー推移!C52,"")</f>
        <v/>
      </c>
      <c r="L52" s="22"/>
      <c r="M52" s="22"/>
    </row>
    <row r="53" customFormat="false" ht="15" hidden="false" customHeight="true" outlineLevel="0" collapsed="false">
      <c r="A53" s="27" t="s">
        <v>118</v>
      </c>
      <c r="B53" s="28" t="s">
        <v>195</v>
      </c>
      <c r="C53" s="27" t="n">
        <f aca="false">COUNTA(X投稿ログ!G257:G261)</f>
        <v>0</v>
      </c>
      <c r="D53" s="31" t="n">
        <f aca="false">SUM(X投稿ログ!G257:G261)</f>
        <v>0</v>
      </c>
      <c r="E53" s="31" t="n">
        <f aca="false">SUM(X投稿ログ!H257:H261)</f>
        <v>0</v>
      </c>
      <c r="F53" s="27" t="n">
        <f aca="false">SUM(X投稿ログ!I257:I261)</f>
        <v>0</v>
      </c>
      <c r="G53" s="27" t="n">
        <f aca="false">SUM(X投稿ログ!J257:J261)</f>
        <v>0</v>
      </c>
      <c r="H53" s="29" t="str">
        <f aca="false">IFERROR(E53/D53,"")</f>
        <v/>
      </c>
      <c r="I53" s="27" t="str">
        <f aca="false">IFERROR(INDEX(X投稿ログ!B257:B261,MATCH(MAX(X投稿ログ!G257:G261),X投稿ログ!G257:G261,0)),"")</f>
        <v/>
      </c>
      <c r="J53" s="27" t="str">
        <f aca="false">IFERROR(INDEX(X投稿ログ!C257:C261,MATCH(MAX(X投稿ログ!G257:G261),X投稿ログ!G257:G261,0)),"")</f>
        <v/>
      </c>
      <c r="K53" s="27" t="str">
        <f aca="false">IFERROR(Xフォロワー推移!C53,"")</f>
        <v/>
      </c>
      <c r="L53" s="27"/>
      <c r="M53" s="27"/>
    </row>
    <row r="54" customFormat="false" ht="15" hidden="false" customHeight="true" outlineLevel="0" collapsed="false">
      <c r="A54" s="33" t="s">
        <v>119</v>
      </c>
      <c r="B54" s="34" t="s">
        <v>196</v>
      </c>
      <c r="C54" s="33" t="n">
        <f aca="false">COUNTA(X投稿ログ!G262:G266)</f>
        <v>0</v>
      </c>
      <c r="D54" s="35" t="n">
        <f aca="false">SUM(X投稿ログ!G262:G266)</f>
        <v>0</v>
      </c>
      <c r="E54" s="35" t="n">
        <f aca="false">SUM(X投稿ログ!H262:H266)</f>
        <v>0</v>
      </c>
      <c r="F54" s="33" t="n">
        <f aca="false">SUM(X投稿ログ!I262:I266)</f>
        <v>0</v>
      </c>
      <c r="G54" s="33" t="n">
        <f aca="false">SUM(X投稿ログ!J262:J266)</f>
        <v>0</v>
      </c>
      <c r="H54" s="36" t="str">
        <f aca="false">IFERROR(E54/D54,"")</f>
        <v/>
      </c>
      <c r="I54" s="33" t="str">
        <f aca="false">IFERROR(INDEX(X投稿ログ!B262:B266,MATCH(MAX(X投稿ログ!G262:G266),X投稿ログ!G262:G266,0)),"")</f>
        <v/>
      </c>
      <c r="J54" s="33" t="str">
        <f aca="false">IFERROR(INDEX(X投稿ログ!C262:C266,MATCH(MAX(X投稿ログ!G262:G266),X投稿ログ!G262:G266,0)),"")</f>
        <v/>
      </c>
      <c r="K54" s="33" t="str">
        <f aca="false">IFERROR(Xフォロワー推移!C54,"")</f>
        <v/>
      </c>
      <c r="L54" s="33"/>
      <c r="M54" s="33"/>
    </row>
    <row r="55" customFormat="false" ht="15" hidden="false" customHeight="true" outlineLevel="0" collapsed="false">
      <c r="A55" s="33" t="s">
        <v>120</v>
      </c>
      <c r="B55" s="34" t="s">
        <v>197</v>
      </c>
      <c r="C55" s="33" t="n">
        <f aca="false">COUNTA(X投稿ログ!G267:G271)</f>
        <v>0</v>
      </c>
      <c r="D55" s="35" t="n">
        <f aca="false">SUM(X投稿ログ!G267:G271)</f>
        <v>0</v>
      </c>
      <c r="E55" s="35" t="n">
        <f aca="false">SUM(X投稿ログ!H267:H271)</f>
        <v>0</v>
      </c>
      <c r="F55" s="33" t="n">
        <f aca="false">SUM(X投稿ログ!I267:I271)</f>
        <v>0</v>
      </c>
      <c r="G55" s="33" t="n">
        <f aca="false">SUM(X投稿ログ!J267:J271)</f>
        <v>0</v>
      </c>
      <c r="H55" s="36" t="str">
        <f aca="false">IFERROR(E55/D55,"")</f>
        <v/>
      </c>
      <c r="I55" s="33" t="str">
        <f aca="false">IFERROR(INDEX(X投稿ログ!B267:B271,MATCH(MAX(X投稿ログ!G267:G271),X投稿ログ!G267:G271,0)),"")</f>
        <v/>
      </c>
      <c r="J55" s="33" t="str">
        <f aca="false">IFERROR(INDEX(X投稿ログ!C267:C271,MATCH(MAX(X投稿ログ!G267:G271),X投稿ログ!G267:G271,0)),"")</f>
        <v/>
      </c>
      <c r="K55" s="33" t="str">
        <f aca="false">IFERROR(Xフォロワー推移!C55,"")</f>
        <v/>
      </c>
      <c r="L55" s="33"/>
      <c r="M55" s="33"/>
    </row>
    <row r="56" customFormat="false" ht="15" hidden="false" customHeight="true" outlineLevel="0" collapsed="false">
      <c r="A56" s="22" t="s">
        <v>121</v>
      </c>
      <c r="B56" s="23" t="s">
        <v>198</v>
      </c>
      <c r="C56" s="22" t="n">
        <f aca="false">COUNTA(X投稿ログ!G272:G276)</f>
        <v>0</v>
      </c>
      <c r="D56" s="26" t="n">
        <f aca="false">SUM(X投稿ログ!G272:G276)</f>
        <v>0</v>
      </c>
      <c r="E56" s="26" t="n">
        <f aca="false">SUM(X投稿ログ!H272:H276)</f>
        <v>0</v>
      </c>
      <c r="F56" s="22" t="n">
        <f aca="false">SUM(X投稿ログ!I272:I276)</f>
        <v>0</v>
      </c>
      <c r="G56" s="22" t="n">
        <f aca="false">SUM(X投稿ログ!J272:J276)</f>
        <v>0</v>
      </c>
      <c r="H56" s="24" t="str">
        <f aca="false">IFERROR(E56/D56,"")</f>
        <v/>
      </c>
      <c r="I56" s="22" t="str">
        <f aca="false">IFERROR(INDEX(X投稿ログ!B272:B276,MATCH(MAX(X投稿ログ!G272:G276),X投稿ログ!G272:G276,0)),"")</f>
        <v/>
      </c>
      <c r="J56" s="22" t="str">
        <f aca="false">IFERROR(INDEX(X投稿ログ!C272:C276,MATCH(MAX(X投稿ログ!G272:G276),X投稿ログ!G272:G276,0)),"")</f>
        <v/>
      </c>
      <c r="K56" s="22" t="str">
        <f aca="false">IFERROR(Xフォロワー推移!C56,"")</f>
        <v/>
      </c>
      <c r="L56" s="22"/>
      <c r="M56" s="22"/>
    </row>
    <row r="57" customFormat="false" ht="15" hidden="false" customHeight="true" outlineLevel="0" collapsed="false">
      <c r="A57" s="27" t="s">
        <v>122</v>
      </c>
      <c r="B57" s="28" t="s">
        <v>199</v>
      </c>
      <c r="C57" s="27" t="n">
        <f aca="false">COUNTA(X投稿ログ!G277:G281)</f>
        <v>0</v>
      </c>
      <c r="D57" s="31" t="n">
        <f aca="false">SUM(X投稿ログ!G277:G281)</f>
        <v>0</v>
      </c>
      <c r="E57" s="31" t="n">
        <f aca="false">SUM(X投稿ログ!H277:H281)</f>
        <v>0</v>
      </c>
      <c r="F57" s="27" t="n">
        <f aca="false">SUM(X投稿ログ!I277:I281)</f>
        <v>0</v>
      </c>
      <c r="G57" s="27" t="n">
        <f aca="false">SUM(X投稿ログ!J277:J281)</f>
        <v>0</v>
      </c>
      <c r="H57" s="29" t="str">
        <f aca="false">IFERROR(E57/D57,"")</f>
        <v/>
      </c>
      <c r="I57" s="27" t="str">
        <f aca="false">IFERROR(INDEX(X投稿ログ!B277:B281,MATCH(MAX(X投稿ログ!G277:G281),X投稿ログ!G277:G281,0)),"")</f>
        <v/>
      </c>
      <c r="J57" s="27" t="str">
        <f aca="false">IFERROR(INDEX(X投稿ログ!C277:C281,MATCH(MAX(X投稿ログ!G277:G281),X投稿ログ!G277:G281,0)),"")</f>
        <v/>
      </c>
      <c r="K57" s="27" t="str">
        <f aca="false">IFERROR(Xフォロワー推移!C57,"")</f>
        <v/>
      </c>
      <c r="L57" s="27"/>
      <c r="M57" s="27"/>
    </row>
    <row r="58" customFormat="false" ht="15" hidden="false" customHeight="true" outlineLevel="0" collapsed="false">
      <c r="A58" s="22" t="s">
        <v>123</v>
      </c>
      <c r="B58" s="23" t="s">
        <v>193</v>
      </c>
      <c r="C58" s="22" t="n">
        <f aca="false">COUNTA(X投稿ログ!G282:G286)</f>
        <v>0</v>
      </c>
      <c r="D58" s="26" t="n">
        <f aca="false">SUM(X投稿ログ!G282:G286)</f>
        <v>0</v>
      </c>
      <c r="E58" s="26" t="n">
        <f aca="false">SUM(X投稿ログ!H282:H286)</f>
        <v>0</v>
      </c>
      <c r="F58" s="22" t="n">
        <f aca="false">SUM(X投稿ログ!I282:I286)</f>
        <v>0</v>
      </c>
      <c r="G58" s="22" t="n">
        <f aca="false">SUM(X投稿ログ!J282:J286)</f>
        <v>0</v>
      </c>
      <c r="H58" s="24" t="str">
        <f aca="false">IFERROR(E58/D58,"")</f>
        <v/>
      </c>
      <c r="I58" s="22" t="str">
        <f aca="false">IFERROR(INDEX(X投稿ログ!B282:B286,MATCH(MAX(X投稿ログ!G282:G286),X投稿ログ!G282:G286,0)),"")</f>
        <v/>
      </c>
      <c r="J58" s="22" t="str">
        <f aca="false">IFERROR(INDEX(X投稿ログ!C282:C286,MATCH(MAX(X投稿ログ!G282:G286),X投稿ログ!G282:G286,0)),"")</f>
        <v/>
      </c>
      <c r="K58" s="22" t="str">
        <f aca="false">IFERROR(Xフォロワー推移!C58,"")</f>
        <v/>
      </c>
      <c r="L58" s="22"/>
      <c r="M58" s="22"/>
    </row>
    <row r="59" customFormat="false" ht="15" hidden="false" customHeight="true" outlineLevel="0" collapsed="false">
      <c r="A59" s="27" t="s">
        <v>124</v>
      </c>
      <c r="B59" s="28" t="s">
        <v>194</v>
      </c>
      <c r="C59" s="27" t="n">
        <f aca="false">COUNTA(X投稿ログ!G287:G291)</f>
        <v>0</v>
      </c>
      <c r="D59" s="31" t="n">
        <f aca="false">SUM(X投稿ログ!G287:G291)</f>
        <v>0</v>
      </c>
      <c r="E59" s="31" t="n">
        <f aca="false">SUM(X投稿ログ!H287:H291)</f>
        <v>0</v>
      </c>
      <c r="F59" s="27" t="n">
        <f aca="false">SUM(X投稿ログ!I287:I291)</f>
        <v>0</v>
      </c>
      <c r="G59" s="27" t="n">
        <f aca="false">SUM(X投稿ログ!J287:J291)</f>
        <v>0</v>
      </c>
      <c r="H59" s="29" t="str">
        <f aca="false">IFERROR(E59/D59,"")</f>
        <v/>
      </c>
      <c r="I59" s="27" t="str">
        <f aca="false">IFERROR(INDEX(X投稿ログ!B287:B291,MATCH(MAX(X投稿ログ!G287:G291),X投稿ログ!G287:G291,0)),"")</f>
        <v/>
      </c>
      <c r="J59" s="27" t="str">
        <f aca="false">IFERROR(INDEX(X投稿ログ!C287:C291,MATCH(MAX(X投稿ログ!G287:G291),X投稿ログ!G287:G291,0)),"")</f>
        <v/>
      </c>
      <c r="K59" s="27" t="str">
        <f aca="false">IFERROR(Xフォロワー推移!C59,"")</f>
        <v/>
      </c>
      <c r="L59" s="27"/>
      <c r="M59" s="27"/>
    </row>
    <row r="60" customFormat="false" ht="15" hidden="false" customHeight="true" outlineLevel="0" collapsed="false">
      <c r="A60" s="22" t="s">
        <v>125</v>
      </c>
      <c r="B60" s="23" t="s">
        <v>195</v>
      </c>
      <c r="C60" s="22" t="n">
        <f aca="false">COUNTA(X投稿ログ!G292:G296)</f>
        <v>0</v>
      </c>
      <c r="D60" s="26" t="n">
        <f aca="false">SUM(X投稿ログ!G292:G296)</f>
        <v>0</v>
      </c>
      <c r="E60" s="26" t="n">
        <f aca="false">SUM(X投稿ログ!H292:H296)</f>
        <v>0</v>
      </c>
      <c r="F60" s="22" t="n">
        <f aca="false">SUM(X投稿ログ!I292:I296)</f>
        <v>0</v>
      </c>
      <c r="G60" s="22" t="n">
        <f aca="false">SUM(X投稿ログ!J292:J296)</f>
        <v>0</v>
      </c>
      <c r="H60" s="24" t="str">
        <f aca="false">IFERROR(E60/D60,"")</f>
        <v/>
      </c>
      <c r="I60" s="22" t="str">
        <f aca="false">IFERROR(INDEX(X投稿ログ!B292:B296,MATCH(MAX(X投稿ログ!G292:G296),X投稿ログ!G292:G296,0)),"")</f>
        <v/>
      </c>
      <c r="J60" s="22" t="str">
        <f aca="false">IFERROR(INDEX(X投稿ログ!C292:C296,MATCH(MAX(X投稿ログ!G292:G296),X投稿ログ!G292:G296,0)),"")</f>
        <v/>
      </c>
      <c r="K60" s="22" t="str">
        <f aca="false">IFERROR(Xフォロワー推移!C60,"")</f>
        <v/>
      </c>
      <c r="L60" s="22"/>
      <c r="M60" s="22"/>
    </row>
    <row r="61" customFormat="false" ht="15" hidden="false" customHeight="true" outlineLevel="0" collapsed="false">
      <c r="A61" s="33" t="s">
        <v>126</v>
      </c>
      <c r="B61" s="34" t="s">
        <v>196</v>
      </c>
      <c r="C61" s="33" t="n">
        <f aca="false">COUNTA(X投稿ログ!G297:G301)</f>
        <v>0</v>
      </c>
      <c r="D61" s="35" t="n">
        <f aca="false">SUM(X投稿ログ!G297:G301)</f>
        <v>0</v>
      </c>
      <c r="E61" s="35" t="n">
        <f aca="false">SUM(X投稿ログ!H297:H301)</f>
        <v>0</v>
      </c>
      <c r="F61" s="33" t="n">
        <f aca="false">SUM(X投稿ログ!I297:I301)</f>
        <v>0</v>
      </c>
      <c r="G61" s="33" t="n">
        <f aca="false">SUM(X投稿ログ!J297:J301)</f>
        <v>0</v>
      </c>
      <c r="H61" s="36" t="str">
        <f aca="false">IFERROR(E61/D61,"")</f>
        <v/>
      </c>
      <c r="I61" s="33" t="str">
        <f aca="false">IFERROR(INDEX(X投稿ログ!B297:B301,MATCH(MAX(X投稿ログ!G297:G301),X投稿ログ!G297:G301,0)),"")</f>
        <v/>
      </c>
      <c r="J61" s="33" t="str">
        <f aca="false">IFERROR(INDEX(X投稿ログ!C297:C301,MATCH(MAX(X投稿ログ!G297:G301),X投稿ログ!G297:G301,0)),"")</f>
        <v/>
      </c>
      <c r="K61" s="33" t="str">
        <f aca="false">IFERROR(Xフォロワー推移!C61,"")</f>
        <v/>
      </c>
      <c r="L61" s="33"/>
      <c r="M61" s="33"/>
    </row>
    <row r="62" customFormat="false" ht="15" hidden="false" customHeight="true" outlineLevel="0" collapsed="false">
      <c r="A62" s="33" t="s">
        <v>127</v>
      </c>
      <c r="B62" s="34" t="s">
        <v>197</v>
      </c>
      <c r="C62" s="33" t="n">
        <f aca="false">COUNTA(X投稿ログ!G302:G306)</f>
        <v>0</v>
      </c>
      <c r="D62" s="35" t="n">
        <f aca="false">SUM(X投稿ログ!G302:G306)</f>
        <v>0</v>
      </c>
      <c r="E62" s="35" t="n">
        <f aca="false">SUM(X投稿ログ!H302:H306)</f>
        <v>0</v>
      </c>
      <c r="F62" s="33" t="n">
        <f aca="false">SUM(X投稿ログ!I302:I306)</f>
        <v>0</v>
      </c>
      <c r="G62" s="33" t="n">
        <f aca="false">SUM(X投稿ログ!J302:J306)</f>
        <v>0</v>
      </c>
      <c r="H62" s="36" t="str">
        <f aca="false">IFERROR(E62/D62,"")</f>
        <v/>
      </c>
      <c r="I62" s="33" t="str">
        <f aca="false">IFERROR(INDEX(X投稿ログ!B302:B306,MATCH(MAX(X投稿ログ!G302:G306),X投稿ログ!G302:G306,0)),"")</f>
        <v/>
      </c>
      <c r="J62" s="33" t="str">
        <f aca="false">IFERROR(INDEX(X投稿ログ!C302:C306,MATCH(MAX(X投稿ログ!G302:G306),X投稿ログ!G302:G306,0)),"")</f>
        <v/>
      </c>
      <c r="K62" s="33" t="n">
        <f aca="false">IFERROR(Xフォロワー推移!C62,"")</f>
        <v>0</v>
      </c>
      <c r="L62" s="33"/>
      <c r="M62" s="33"/>
    </row>
    <row r="63" customFormat="false" ht="15" hidden="false" customHeight="true" outlineLevel="0" collapsed="false">
      <c r="A63" s="27" t="s">
        <v>128</v>
      </c>
      <c r="B63" s="28" t="s">
        <v>198</v>
      </c>
      <c r="C63" s="27" t="n">
        <f aca="false">COUNTA(X投稿ログ!G307:G311)</f>
        <v>0</v>
      </c>
      <c r="D63" s="31" t="n">
        <f aca="false">SUM(X投稿ログ!G307:G311)</f>
        <v>0</v>
      </c>
      <c r="E63" s="31" t="n">
        <f aca="false">SUM(X投稿ログ!H307:H311)</f>
        <v>0</v>
      </c>
      <c r="F63" s="27" t="n">
        <f aca="false">SUM(X投稿ログ!I307:I311)</f>
        <v>0</v>
      </c>
      <c r="G63" s="27" t="n">
        <f aca="false">SUM(X投稿ログ!J307:J311)</f>
        <v>0</v>
      </c>
      <c r="H63" s="29" t="str">
        <f aca="false">IFERROR(E63/D63,"")</f>
        <v/>
      </c>
      <c r="I63" s="27" t="str">
        <f aca="false">IFERROR(INDEX(X投稿ログ!B307:B311,MATCH(MAX(X投稿ログ!G307:G311),X投稿ログ!G307:G311,0)),"")</f>
        <v/>
      </c>
      <c r="J63" s="27" t="str">
        <f aca="false">IFERROR(INDEX(X投稿ログ!C307:C311,MATCH(MAX(X投稿ログ!G307:G311),X投稿ログ!G307:G311,0)),"")</f>
        <v/>
      </c>
      <c r="K63" s="27" t="n">
        <f aca="false">IFERROR(Xフォロワー推移!C63,"")</f>
        <v>0</v>
      </c>
      <c r="L63" s="27"/>
      <c r="M63" s="27"/>
    </row>
    <row r="64" customFormat="false" ht="15" hidden="false" customHeight="true" outlineLevel="0" collapsed="false">
      <c r="A64" s="22" t="s">
        <v>129</v>
      </c>
      <c r="B64" s="23" t="s">
        <v>199</v>
      </c>
      <c r="C64" s="22" t="n">
        <f aca="false">COUNTA(X投稿ログ!G312:G316)</f>
        <v>0</v>
      </c>
      <c r="D64" s="26" t="n">
        <f aca="false">SUM(X投稿ログ!G312:G316)</f>
        <v>0</v>
      </c>
      <c r="E64" s="26" t="n">
        <f aca="false">SUM(X投稿ログ!H312:H316)</f>
        <v>0</v>
      </c>
      <c r="F64" s="22" t="n">
        <f aca="false">SUM(X投稿ログ!I312:I316)</f>
        <v>0</v>
      </c>
      <c r="G64" s="22" t="n">
        <f aca="false">SUM(X投稿ログ!J312:J316)</f>
        <v>0</v>
      </c>
      <c r="H64" s="24" t="str">
        <f aca="false">IFERROR(E64/D64,"")</f>
        <v/>
      </c>
      <c r="I64" s="22" t="str">
        <f aca="false">IFERROR(INDEX(X投稿ログ!B312:B316,MATCH(MAX(X投稿ログ!G312:G316),X投稿ログ!G312:G316,0)),"")</f>
        <v/>
      </c>
      <c r="J64" s="22" t="str">
        <f aca="false">IFERROR(INDEX(X投稿ログ!C312:C316,MATCH(MAX(X投稿ログ!G312:G316),X投稿ログ!G312:G316,0)),"")</f>
        <v/>
      </c>
      <c r="K64" s="22" t="n">
        <f aca="false">IFERROR(Xフォロワー推移!C64,"")</f>
        <v>0</v>
      </c>
      <c r="L64" s="22"/>
      <c r="M64" s="22"/>
    </row>
    <row r="65" customFormat="false" ht="15" hidden="false" customHeight="true" outlineLevel="0" collapsed="false">
      <c r="A65" s="27" t="s">
        <v>130</v>
      </c>
      <c r="B65" s="28" t="s">
        <v>193</v>
      </c>
      <c r="C65" s="27" t="n">
        <f aca="false">COUNTA(X投稿ログ!G317:G321)</f>
        <v>0</v>
      </c>
      <c r="D65" s="31" t="n">
        <f aca="false">SUM(X投稿ログ!G317:G321)</f>
        <v>0</v>
      </c>
      <c r="E65" s="31" t="n">
        <f aca="false">SUM(X投稿ログ!H317:H321)</f>
        <v>0</v>
      </c>
      <c r="F65" s="27" t="n">
        <f aca="false">SUM(X投稿ログ!I317:I321)</f>
        <v>0</v>
      </c>
      <c r="G65" s="27" t="n">
        <f aca="false">SUM(X投稿ログ!J317:J321)</f>
        <v>0</v>
      </c>
      <c r="H65" s="29" t="str">
        <f aca="false">IFERROR(E65/D65,"")</f>
        <v/>
      </c>
      <c r="I65" s="27" t="str">
        <f aca="false">IFERROR(INDEX(X投稿ログ!B317:B321,MATCH(MAX(X投稿ログ!G317:G321),X投稿ログ!G317:G321,0)),"")</f>
        <v/>
      </c>
      <c r="J65" s="27" t="str">
        <f aca="false">IFERROR(INDEX(X投稿ログ!C317:C321,MATCH(MAX(X投稿ログ!G317:G321),X投稿ログ!G317:G321,0)),"")</f>
        <v/>
      </c>
      <c r="K65" s="27" t="n">
        <f aca="false">IFERROR(Xフォロワー推移!C65,"")</f>
        <v>0</v>
      </c>
      <c r="L65" s="27"/>
      <c r="M65" s="27"/>
    </row>
    <row r="66" customFormat="false" ht="15" hidden="false" customHeight="true" outlineLevel="0" collapsed="false">
      <c r="A66" s="22" t="s">
        <v>131</v>
      </c>
      <c r="B66" s="23" t="s">
        <v>194</v>
      </c>
      <c r="C66" s="22" t="n">
        <f aca="false">COUNTA(X投稿ログ!G322:G326)</f>
        <v>0</v>
      </c>
      <c r="D66" s="26" t="n">
        <f aca="false">SUM(X投稿ログ!G322:G326)</f>
        <v>0</v>
      </c>
      <c r="E66" s="26" t="n">
        <f aca="false">SUM(X投稿ログ!H322:H326)</f>
        <v>0</v>
      </c>
      <c r="F66" s="22" t="n">
        <f aca="false">SUM(X投稿ログ!I322:I326)</f>
        <v>0</v>
      </c>
      <c r="G66" s="22" t="n">
        <f aca="false">SUM(X投稿ログ!J322:J326)</f>
        <v>0</v>
      </c>
      <c r="H66" s="24" t="str">
        <f aca="false">IFERROR(E66/D66,"")</f>
        <v/>
      </c>
      <c r="I66" s="22" t="str">
        <f aca="false">IFERROR(INDEX(X投稿ログ!B322:B326,MATCH(MAX(X投稿ログ!G322:G326),X投稿ログ!G322:G326,0)),"")</f>
        <v/>
      </c>
      <c r="J66" s="22" t="str">
        <f aca="false">IFERROR(INDEX(X投稿ログ!C322:C326,MATCH(MAX(X投稿ログ!G322:G326),X投稿ログ!G322:G326,0)),"")</f>
        <v/>
      </c>
      <c r="K66" s="22" t="n">
        <f aca="false">IFERROR(Xフォロワー推移!C66,"")</f>
        <v>0</v>
      </c>
      <c r="L66" s="22"/>
      <c r="M66" s="22"/>
    </row>
    <row r="67" customFormat="false" ht="15" hidden="false" customHeight="true" outlineLevel="0" collapsed="false">
      <c r="A67" s="27" t="s">
        <v>132</v>
      </c>
      <c r="B67" s="28" t="s">
        <v>195</v>
      </c>
      <c r="C67" s="27" t="n">
        <f aca="false">COUNTA(X投稿ログ!G327:G331)</f>
        <v>0</v>
      </c>
      <c r="D67" s="31" t="n">
        <f aca="false">SUM(X投稿ログ!G327:G331)</f>
        <v>0</v>
      </c>
      <c r="E67" s="31" t="n">
        <f aca="false">SUM(X投稿ログ!H327:H331)</f>
        <v>0</v>
      </c>
      <c r="F67" s="27" t="n">
        <f aca="false">SUM(X投稿ログ!I327:I331)</f>
        <v>0</v>
      </c>
      <c r="G67" s="27" t="n">
        <f aca="false">SUM(X投稿ログ!J327:J331)</f>
        <v>0</v>
      </c>
      <c r="H67" s="29" t="str">
        <f aca="false">IFERROR(E67/D67,"")</f>
        <v/>
      </c>
      <c r="I67" s="27" t="str">
        <f aca="false">IFERROR(INDEX(X投稿ログ!B327:B331,MATCH(MAX(X投稿ログ!G327:G331),X投稿ログ!G327:G331,0)),"")</f>
        <v/>
      </c>
      <c r="J67" s="27" t="str">
        <f aca="false">IFERROR(INDEX(X投稿ログ!C327:C331,MATCH(MAX(X投稿ログ!G327:G331),X投稿ログ!G327:G331,0)),"")</f>
        <v/>
      </c>
      <c r="K67" s="27" t="n">
        <f aca="false">IFERROR(Xフォロワー推移!C67,"")</f>
        <v>0</v>
      </c>
      <c r="L67" s="27"/>
      <c r="M67" s="27"/>
    </row>
    <row r="68" customFormat="false" ht="15" hidden="false" customHeight="true" outlineLevel="0" collapsed="false">
      <c r="A68" s="33" t="s">
        <v>133</v>
      </c>
      <c r="B68" s="34" t="s">
        <v>196</v>
      </c>
      <c r="C68" s="33" t="n">
        <f aca="false">COUNTA(X投稿ログ!G332:G336)</f>
        <v>0</v>
      </c>
      <c r="D68" s="35" t="n">
        <f aca="false">SUM(X投稿ログ!G332:G336)</f>
        <v>0</v>
      </c>
      <c r="E68" s="35" t="n">
        <f aca="false">SUM(X投稿ログ!H332:H336)</f>
        <v>0</v>
      </c>
      <c r="F68" s="33" t="n">
        <f aca="false">SUM(X投稿ログ!I332:I336)</f>
        <v>0</v>
      </c>
      <c r="G68" s="33" t="n">
        <f aca="false">SUM(X投稿ログ!J332:J336)</f>
        <v>0</v>
      </c>
      <c r="H68" s="36" t="str">
        <f aca="false">IFERROR(E68/D68,"")</f>
        <v/>
      </c>
      <c r="I68" s="33" t="str">
        <f aca="false">IFERROR(INDEX(X投稿ログ!B332:B336,MATCH(MAX(X投稿ログ!G332:G336),X投稿ログ!G332:G336,0)),"")</f>
        <v/>
      </c>
      <c r="J68" s="33" t="str">
        <f aca="false">IFERROR(INDEX(X投稿ログ!C332:C336,MATCH(MAX(X投稿ログ!G332:G336),X投稿ログ!G332:G336,0)),"")</f>
        <v/>
      </c>
      <c r="K68" s="33" t="n">
        <f aca="false">IFERROR(Xフォロワー推移!C68,"")</f>
        <v>0</v>
      </c>
      <c r="L68" s="33"/>
      <c r="M68" s="33"/>
    </row>
    <row r="69" customFormat="false" ht="15" hidden="false" customHeight="true" outlineLevel="0" collapsed="false">
      <c r="A69" s="33" t="s">
        <v>134</v>
      </c>
      <c r="B69" s="34" t="s">
        <v>197</v>
      </c>
      <c r="C69" s="33" t="n">
        <f aca="false">COUNTA(X投稿ログ!G337:G341)</f>
        <v>0</v>
      </c>
      <c r="D69" s="35" t="n">
        <f aca="false">SUM(X投稿ログ!G337:G341)</f>
        <v>0</v>
      </c>
      <c r="E69" s="35" t="n">
        <f aca="false">SUM(X投稿ログ!H337:H341)</f>
        <v>0</v>
      </c>
      <c r="F69" s="33" t="n">
        <f aca="false">SUM(X投稿ログ!I337:I341)</f>
        <v>0</v>
      </c>
      <c r="G69" s="33" t="n">
        <f aca="false">SUM(X投稿ログ!J337:J341)</f>
        <v>0</v>
      </c>
      <c r="H69" s="36" t="str">
        <f aca="false">IFERROR(E69/D69,"")</f>
        <v/>
      </c>
      <c r="I69" s="33" t="str">
        <f aca="false">IFERROR(INDEX(X投稿ログ!B337:B341,MATCH(MAX(X投稿ログ!G337:G341),X投稿ログ!G337:G341,0)),"")</f>
        <v/>
      </c>
      <c r="J69" s="33" t="str">
        <f aca="false">IFERROR(INDEX(X投稿ログ!C337:C341,MATCH(MAX(X投稿ログ!G337:G341),X投稿ログ!G337:G341,0)),"")</f>
        <v/>
      </c>
      <c r="K69" s="33" t="n">
        <f aca="false">IFERROR(Xフォロワー推移!C69,"")</f>
        <v>0</v>
      </c>
      <c r="L69" s="33"/>
      <c r="M69" s="33"/>
    </row>
    <row r="70" customFormat="false" ht="15" hidden="false" customHeight="true" outlineLevel="0" collapsed="false">
      <c r="A70" s="22" t="s">
        <v>135</v>
      </c>
      <c r="B70" s="23" t="s">
        <v>198</v>
      </c>
      <c r="C70" s="22" t="n">
        <f aca="false">COUNTA(X投稿ログ!G342:G346)</f>
        <v>0</v>
      </c>
      <c r="D70" s="26" t="n">
        <f aca="false">SUM(X投稿ログ!G342:G346)</f>
        <v>0</v>
      </c>
      <c r="E70" s="26" t="n">
        <f aca="false">SUM(X投稿ログ!H342:H346)</f>
        <v>0</v>
      </c>
      <c r="F70" s="22" t="n">
        <f aca="false">SUM(X投稿ログ!I342:I346)</f>
        <v>0</v>
      </c>
      <c r="G70" s="22" t="n">
        <f aca="false">SUM(X投稿ログ!J342:J346)</f>
        <v>0</v>
      </c>
      <c r="H70" s="24" t="str">
        <f aca="false">IFERROR(E70/D70,"")</f>
        <v/>
      </c>
      <c r="I70" s="22" t="str">
        <f aca="false">IFERROR(INDEX(X投稿ログ!B342:B346,MATCH(MAX(X投稿ログ!G342:G346),X投稿ログ!G342:G346,0)),"")</f>
        <v/>
      </c>
      <c r="J70" s="22" t="str">
        <f aca="false">IFERROR(INDEX(X投稿ログ!C342:C346,MATCH(MAX(X投稿ログ!G342:G346),X投稿ログ!G342:G346,0)),"")</f>
        <v/>
      </c>
      <c r="K70" s="22" t="n">
        <f aca="false">IFERROR(Xフォロワー推移!C70,"")</f>
        <v>0</v>
      </c>
      <c r="L70" s="22"/>
      <c r="M70" s="22"/>
    </row>
    <row r="71" customFormat="false" ht="15" hidden="false" customHeight="true" outlineLevel="0" collapsed="false">
      <c r="A71" s="27" t="s">
        <v>136</v>
      </c>
      <c r="B71" s="28" t="s">
        <v>199</v>
      </c>
      <c r="C71" s="27" t="n">
        <f aca="false">COUNTA(X投稿ログ!G347:G351)</f>
        <v>0</v>
      </c>
      <c r="D71" s="31" t="n">
        <f aca="false">SUM(X投稿ログ!G347:G351)</f>
        <v>0</v>
      </c>
      <c r="E71" s="31" t="n">
        <f aca="false">SUM(X投稿ログ!H347:H351)</f>
        <v>0</v>
      </c>
      <c r="F71" s="27" t="n">
        <f aca="false">SUM(X投稿ログ!I347:I351)</f>
        <v>0</v>
      </c>
      <c r="G71" s="27" t="n">
        <f aca="false">SUM(X投稿ログ!J347:J351)</f>
        <v>0</v>
      </c>
      <c r="H71" s="29" t="str">
        <f aca="false">IFERROR(E71/D71,"")</f>
        <v/>
      </c>
      <c r="I71" s="27" t="str">
        <f aca="false">IFERROR(INDEX(X投稿ログ!B347:B351,MATCH(MAX(X投稿ログ!G347:G351),X投稿ログ!G347:G351,0)),"")</f>
        <v/>
      </c>
      <c r="J71" s="27" t="str">
        <f aca="false">IFERROR(INDEX(X投稿ログ!C347:C351,MATCH(MAX(X投稿ログ!G347:G351),X投稿ログ!G347:G351,0)),"")</f>
        <v/>
      </c>
      <c r="K71" s="27" t="n">
        <f aca="false">IFERROR(Xフォロワー推移!C71,"")</f>
        <v>0</v>
      </c>
      <c r="L71" s="27"/>
      <c r="M71" s="27"/>
    </row>
    <row r="72" customFormat="false" ht="15" hidden="false" customHeight="true" outlineLevel="0" collapsed="false">
      <c r="A72" s="22" t="s">
        <v>137</v>
      </c>
      <c r="B72" s="23" t="s">
        <v>193</v>
      </c>
      <c r="C72" s="22" t="n">
        <f aca="false">COUNTA(X投稿ログ!G352:G356)</f>
        <v>0</v>
      </c>
      <c r="D72" s="26" t="n">
        <f aca="false">SUM(X投稿ログ!G352:G356)</f>
        <v>0</v>
      </c>
      <c r="E72" s="26" t="n">
        <f aca="false">SUM(X投稿ログ!H352:H356)</f>
        <v>0</v>
      </c>
      <c r="F72" s="22" t="n">
        <f aca="false">SUM(X投稿ログ!I352:I356)</f>
        <v>0</v>
      </c>
      <c r="G72" s="22" t="n">
        <f aca="false">SUM(X投稿ログ!J352:J356)</f>
        <v>0</v>
      </c>
      <c r="H72" s="24" t="str">
        <f aca="false">IFERROR(E72/D72,"")</f>
        <v/>
      </c>
      <c r="I72" s="22" t="str">
        <f aca="false">IFERROR(INDEX(X投稿ログ!B352:B356,MATCH(MAX(X投稿ログ!G352:G356),X投稿ログ!G352:G356,0)),"")</f>
        <v/>
      </c>
      <c r="J72" s="22" t="str">
        <f aca="false">IFERROR(INDEX(X投稿ログ!C352:C356,MATCH(MAX(X投稿ログ!G352:G356),X投稿ログ!G352:G356,0)),"")</f>
        <v/>
      </c>
      <c r="K72" s="22" t="n">
        <f aca="false">IFERROR(Xフォロワー推移!C72,"")</f>
        <v>0</v>
      </c>
      <c r="L72" s="22"/>
      <c r="M72" s="22"/>
    </row>
    <row r="73" customFormat="false" ht="15" hidden="false" customHeight="true" outlineLevel="0" collapsed="false">
      <c r="A73" s="27" t="s">
        <v>138</v>
      </c>
      <c r="B73" s="28" t="s">
        <v>194</v>
      </c>
      <c r="C73" s="27" t="n">
        <f aca="false">COUNTA(X投稿ログ!G357:G361)</f>
        <v>0</v>
      </c>
      <c r="D73" s="31" t="n">
        <f aca="false">SUM(X投稿ログ!G357:G361)</f>
        <v>0</v>
      </c>
      <c r="E73" s="31" t="n">
        <f aca="false">SUM(X投稿ログ!H357:H361)</f>
        <v>0</v>
      </c>
      <c r="F73" s="27" t="n">
        <f aca="false">SUM(X投稿ログ!I357:I361)</f>
        <v>0</v>
      </c>
      <c r="G73" s="27" t="n">
        <f aca="false">SUM(X投稿ログ!J357:J361)</f>
        <v>0</v>
      </c>
      <c r="H73" s="29" t="str">
        <f aca="false">IFERROR(E73/D73,"")</f>
        <v/>
      </c>
      <c r="I73" s="27" t="str">
        <f aca="false">IFERROR(INDEX(X投稿ログ!B357:B361,MATCH(MAX(X投稿ログ!G357:G361),X投稿ログ!G357:G361,0)),"")</f>
        <v/>
      </c>
      <c r="J73" s="27" t="str">
        <f aca="false">IFERROR(INDEX(X投稿ログ!C357:C361,MATCH(MAX(X投稿ログ!G357:G361),X投稿ログ!G357:G361,0)),"")</f>
        <v/>
      </c>
      <c r="K73" s="27" t="n">
        <f aca="false">IFERROR(Xフォロワー推移!C73,"")</f>
        <v>0</v>
      </c>
      <c r="L73" s="27"/>
      <c r="M73" s="27"/>
    </row>
    <row r="74" customFormat="false" ht="15" hidden="false" customHeight="true" outlineLevel="0" collapsed="false">
      <c r="A74" s="22" t="s">
        <v>139</v>
      </c>
      <c r="B74" s="23" t="s">
        <v>195</v>
      </c>
      <c r="C74" s="22" t="n">
        <f aca="false">COUNTA(X投稿ログ!G362:G366)</f>
        <v>0</v>
      </c>
      <c r="D74" s="26" t="n">
        <f aca="false">SUM(X投稿ログ!G362:G366)</f>
        <v>0</v>
      </c>
      <c r="E74" s="26" t="n">
        <f aca="false">SUM(X投稿ログ!H362:H366)</f>
        <v>0</v>
      </c>
      <c r="F74" s="22" t="n">
        <f aca="false">SUM(X投稿ログ!I362:I366)</f>
        <v>0</v>
      </c>
      <c r="G74" s="22" t="n">
        <f aca="false">SUM(X投稿ログ!J362:J366)</f>
        <v>0</v>
      </c>
      <c r="H74" s="24" t="str">
        <f aca="false">IFERROR(E74/D74,"")</f>
        <v/>
      </c>
      <c r="I74" s="22" t="str">
        <f aca="false">IFERROR(INDEX(X投稿ログ!B362:B366,MATCH(MAX(X投稿ログ!G362:G366),X投稿ログ!G362:G366,0)),"")</f>
        <v/>
      </c>
      <c r="J74" s="22" t="str">
        <f aca="false">IFERROR(INDEX(X投稿ログ!C362:C366,MATCH(MAX(X投稿ログ!G362:G366),X投稿ログ!G362:G366,0)),"")</f>
        <v/>
      </c>
      <c r="K74" s="22" t="n">
        <f aca="false">IFERROR(Xフォロワー推移!C74,"")</f>
        <v>0</v>
      </c>
      <c r="L74" s="22"/>
      <c r="M74" s="22"/>
    </row>
    <row r="75" customFormat="false" ht="15" hidden="false" customHeight="true" outlineLevel="0" collapsed="false">
      <c r="A75" s="33" t="s">
        <v>140</v>
      </c>
      <c r="B75" s="34" t="s">
        <v>196</v>
      </c>
      <c r="C75" s="33" t="n">
        <f aca="false">COUNTA(X投稿ログ!G367:G371)</f>
        <v>0</v>
      </c>
      <c r="D75" s="35" t="n">
        <f aca="false">SUM(X投稿ログ!G367:G371)</f>
        <v>0</v>
      </c>
      <c r="E75" s="35" t="n">
        <f aca="false">SUM(X投稿ログ!H367:H371)</f>
        <v>0</v>
      </c>
      <c r="F75" s="33" t="n">
        <f aca="false">SUM(X投稿ログ!I367:I371)</f>
        <v>0</v>
      </c>
      <c r="G75" s="33" t="n">
        <f aca="false">SUM(X投稿ログ!J367:J371)</f>
        <v>0</v>
      </c>
      <c r="H75" s="36" t="str">
        <f aca="false">IFERROR(E75/D75,"")</f>
        <v/>
      </c>
      <c r="I75" s="33" t="str">
        <f aca="false">IFERROR(INDEX(X投稿ログ!B367:B371,MATCH(MAX(X投稿ログ!G367:G371),X投稿ログ!G367:G371,0)),"")</f>
        <v/>
      </c>
      <c r="J75" s="33" t="str">
        <f aca="false">IFERROR(INDEX(X投稿ログ!C367:C371,MATCH(MAX(X投稿ログ!G367:G371),X投稿ログ!G367:G371,0)),"")</f>
        <v/>
      </c>
      <c r="K75" s="33" t="n">
        <f aca="false">IFERROR(Xフォロワー推移!C75,"")</f>
        <v>0</v>
      </c>
      <c r="L75" s="33"/>
      <c r="M75" s="33"/>
    </row>
    <row r="76" customFormat="false" ht="15" hidden="false" customHeight="true" outlineLevel="0" collapsed="false">
      <c r="A76" s="33" t="s">
        <v>141</v>
      </c>
      <c r="B76" s="34" t="s">
        <v>197</v>
      </c>
      <c r="C76" s="33" t="n">
        <f aca="false">COUNTA(X投稿ログ!G372:G376)</f>
        <v>0</v>
      </c>
      <c r="D76" s="35" t="n">
        <f aca="false">SUM(X投稿ログ!G372:G376)</f>
        <v>0</v>
      </c>
      <c r="E76" s="35" t="n">
        <f aca="false">SUM(X投稿ログ!H372:H376)</f>
        <v>0</v>
      </c>
      <c r="F76" s="33" t="n">
        <f aca="false">SUM(X投稿ログ!I372:I376)</f>
        <v>0</v>
      </c>
      <c r="G76" s="33" t="n">
        <f aca="false">SUM(X投稿ログ!J372:J376)</f>
        <v>0</v>
      </c>
      <c r="H76" s="36" t="str">
        <f aca="false">IFERROR(E76/D76,"")</f>
        <v/>
      </c>
      <c r="I76" s="33" t="str">
        <f aca="false">IFERROR(INDEX(X投稿ログ!B372:B376,MATCH(MAX(X投稿ログ!G372:G376),X投稿ログ!G372:G376,0)),"")</f>
        <v/>
      </c>
      <c r="J76" s="33" t="str">
        <f aca="false">IFERROR(INDEX(X投稿ログ!C372:C376,MATCH(MAX(X投稿ログ!G372:G376),X投稿ログ!G372:G376,0)),"")</f>
        <v/>
      </c>
      <c r="K76" s="33" t="n">
        <f aca="false">IFERROR(Xフォロワー推移!C76,"")</f>
        <v>0</v>
      </c>
      <c r="L76" s="33"/>
      <c r="M76" s="33"/>
    </row>
    <row r="77" customFormat="false" ht="15" hidden="false" customHeight="true" outlineLevel="0" collapsed="false">
      <c r="A77" s="27" t="s">
        <v>142</v>
      </c>
      <c r="B77" s="28" t="s">
        <v>198</v>
      </c>
      <c r="C77" s="27" t="n">
        <f aca="false">COUNTA(X投稿ログ!G377:G381)</f>
        <v>0</v>
      </c>
      <c r="D77" s="31" t="n">
        <f aca="false">SUM(X投稿ログ!G377:G381)</f>
        <v>0</v>
      </c>
      <c r="E77" s="31" t="n">
        <f aca="false">SUM(X投稿ログ!H377:H381)</f>
        <v>0</v>
      </c>
      <c r="F77" s="27" t="n">
        <f aca="false">SUM(X投稿ログ!I377:I381)</f>
        <v>0</v>
      </c>
      <c r="G77" s="27" t="n">
        <f aca="false">SUM(X投稿ログ!J377:J381)</f>
        <v>0</v>
      </c>
      <c r="H77" s="29" t="str">
        <f aca="false">IFERROR(E77/D77,"")</f>
        <v/>
      </c>
      <c r="I77" s="27" t="str">
        <f aca="false">IFERROR(INDEX(X投稿ログ!B377:B381,MATCH(MAX(X投稿ログ!G377:G381),X投稿ログ!G377:G381,0)),"")</f>
        <v/>
      </c>
      <c r="J77" s="27" t="str">
        <f aca="false">IFERROR(INDEX(X投稿ログ!C377:C381,MATCH(MAX(X投稿ログ!G377:G381),X投稿ログ!G377:G381,0)),"")</f>
        <v/>
      </c>
      <c r="K77" s="27" t="n">
        <f aca="false">IFERROR(Xフォロワー推移!C77,"")</f>
        <v>0</v>
      </c>
      <c r="L77" s="27"/>
      <c r="M77" s="27"/>
    </row>
    <row r="78" customFormat="false" ht="15" hidden="false" customHeight="true" outlineLevel="0" collapsed="false">
      <c r="A78" s="22" t="s">
        <v>143</v>
      </c>
      <c r="B78" s="23" t="s">
        <v>199</v>
      </c>
      <c r="C78" s="22" t="n">
        <f aca="false">COUNTA(X投稿ログ!G382:G386)</f>
        <v>0</v>
      </c>
      <c r="D78" s="26" t="n">
        <f aca="false">SUM(X投稿ログ!G382:G386)</f>
        <v>0</v>
      </c>
      <c r="E78" s="26" t="n">
        <f aca="false">SUM(X投稿ログ!H382:H386)</f>
        <v>0</v>
      </c>
      <c r="F78" s="22" t="n">
        <f aca="false">SUM(X投稿ログ!I382:I386)</f>
        <v>0</v>
      </c>
      <c r="G78" s="22" t="n">
        <f aca="false">SUM(X投稿ログ!J382:J386)</f>
        <v>0</v>
      </c>
      <c r="H78" s="24" t="str">
        <f aca="false">IFERROR(E78/D78,"")</f>
        <v/>
      </c>
      <c r="I78" s="22" t="str">
        <f aca="false">IFERROR(INDEX(X投稿ログ!B382:B386,MATCH(MAX(X投稿ログ!G382:G386),X投稿ログ!G382:G386,0)),"")</f>
        <v/>
      </c>
      <c r="J78" s="22" t="str">
        <f aca="false">IFERROR(INDEX(X投稿ログ!C382:C386,MATCH(MAX(X投稿ログ!G382:G386),X投稿ログ!G382:G386,0)),"")</f>
        <v/>
      </c>
      <c r="K78" s="22" t="n">
        <f aca="false">IFERROR(Xフォロワー推移!C78,"")</f>
        <v>0</v>
      </c>
      <c r="L78" s="22"/>
      <c r="M78" s="22"/>
    </row>
    <row r="79" customFormat="false" ht="15" hidden="false" customHeight="true" outlineLevel="0" collapsed="false">
      <c r="A79" s="27" t="s">
        <v>144</v>
      </c>
      <c r="B79" s="28" t="s">
        <v>193</v>
      </c>
      <c r="C79" s="27" t="n">
        <f aca="false">COUNTA(X投稿ログ!G387:G391)</f>
        <v>0</v>
      </c>
      <c r="D79" s="31" t="n">
        <f aca="false">SUM(X投稿ログ!G387:G391)</f>
        <v>0</v>
      </c>
      <c r="E79" s="31" t="n">
        <f aca="false">SUM(X投稿ログ!H387:H391)</f>
        <v>0</v>
      </c>
      <c r="F79" s="27" t="n">
        <f aca="false">SUM(X投稿ログ!I387:I391)</f>
        <v>0</v>
      </c>
      <c r="G79" s="27" t="n">
        <f aca="false">SUM(X投稿ログ!J387:J391)</f>
        <v>0</v>
      </c>
      <c r="H79" s="29" t="str">
        <f aca="false">IFERROR(E79/D79,"")</f>
        <v/>
      </c>
      <c r="I79" s="27" t="str">
        <f aca="false">IFERROR(INDEX(X投稿ログ!B387:B391,MATCH(MAX(X投稿ログ!G387:G391),X投稿ログ!G387:G391,0)),"")</f>
        <v/>
      </c>
      <c r="J79" s="27" t="str">
        <f aca="false">IFERROR(INDEX(X投稿ログ!C387:C391,MATCH(MAX(X投稿ログ!G387:G391),X投稿ログ!G387:G391,0)),"")</f>
        <v/>
      </c>
      <c r="K79" s="27" t="n">
        <f aca="false">IFERROR(Xフォロワー推移!C79,"")</f>
        <v>0</v>
      </c>
      <c r="L79" s="27"/>
      <c r="M79" s="27"/>
    </row>
    <row r="80" customFormat="false" ht="15" hidden="false" customHeight="true" outlineLevel="0" collapsed="false">
      <c r="A80" s="22" t="s">
        <v>145</v>
      </c>
      <c r="B80" s="23" t="s">
        <v>194</v>
      </c>
      <c r="C80" s="22" t="n">
        <f aca="false">COUNTA(X投稿ログ!G392:G396)</f>
        <v>0</v>
      </c>
      <c r="D80" s="26" t="n">
        <f aca="false">SUM(X投稿ログ!G392:G396)</f>
        <v>0</v>
      </c>
      <c r="E80" s="26" t="n">
        <f aca="false">SUM(X投稿ログ!H392:H396)</f>
        <v>0</v>
      </c>
      <c r="F80" s="22" t="n">
        <f aca="false">SUM(X投稿ログ!I392:I396)</f>
        <v>0</v>
      </c>
      <c r="G80" s="22" t="n">
        <f aca="false">SUM(X投稿ログ!J392:J396)</f>
        <v>0</v>
      </c>
      <c r="H80" s="24" t="str">
        <f aca="false">IFERROR(E80/D80,"")</f>
        <v/>
      </c>
      <c r="I80" s="22" t="str">
        <f aca="false">IFERROR(INDEX(X投稿ログ!B392:B396,MATCH(MAX(X投稿ログ!G392:G396),X投稿ログ!G392:G396,0)),"")</f>
        <v/>
      </c>
      <c r="J80" s="22" t="str">
        <f aca="false">IFERROR(INDEX(X投稿ログ!C392:C396,MATCH(MAX(X投稿ログ!G392:G396),X投稿ログ!G392:G396,0)),"")</f>
        <v/>
      </c>
      <c r="K80" s="22" t="n">
        <f aca="false">IFERROR(Xフォロワー推移!C80,"")</f>
        <v>0</v>
      </c>
      <c r="L80" s="22"/>
      <c r="M80" s="22"/>
    </row>
    <row r="81" customFormat="false" ht="15" hidden="false" customHeight="true" outlineLevel="0" collapsed="false">
      <c r="A81" s="27" t="s">
        <v>146</v>
      </c>
      <c r="B81" s="28" t="s">
        <v>195</v>
      </c>
      <c r="C81" s="27" t="n">
        <f aca="false">COUNTA(X投稿ログ!G397:G401)</f>
        <v>0</v>
      </c>
      <c r="D81" s="31" t="n">
        <f aca="false">SUM(X投稿ログ!G397:G401)</f>
        <v>0</v>
      </c>
      <c r="E81" s="31" t="n">
        <f aca="false">SUM(X投稿ログ!H397:H401)</f>
        <v>0</v>
      </c>
      <c r="F81" s="27" t="n">
        <f aca="false">SUM(X投稿ログ!I397:I401)</f>
        <v>0</v>
      </c>
      <c r="G81" s="27" t="n">
        <f aca="false">SUM(X投稿ログ!J397:J401)</f>
        <v>0</v>
      </c>
      <c r="H81" s="29" t="str">
        <f aca="false">IFERROR(E81/D81,"")</f>
        <v/>
      </c>
      <c r="I81" s="27" t="str">
        <f aca="false">IFERROR(INDEX(X投稿ログ!B397:B401,MATCH(MAX(X投稿ログ!G397:G401),X投稿ログ!G397:G401,0)),"")</f>
        <v/>
      </c>
      <c r="J81" s="27" t="str">
        <f aca="false">IFERROR(INDEX(X投稿ログ!C397:C401,MATCH(MAX(X投稿ログ!G397:G401),X投稿ログ!G397:G401,0)),"")</f>
        <v/>
      </c>
      <c r="K81" s="27" t="n">
        <f aca="false">IFERROR(Xフォロワー推移!C81,"")</f>
        <v>0</v>
      </c>
      <c r="L81" s="27"/>
      <c r="M81" s="27"/>
    </row>
    <row r="82" customFormat="false" ht="15" hidden="false" customHeight="true" outlineLevel="0" collapsed="false">
      <c r="A82" s="33" t="s">
        <v>147</v>
      </c>
      <c r="B82" s="34" t="s">
        <v>196</v>
      </c>
      <c r="C82" s="33" t="n">
        <f aca="false">COUNTA(X投稿ログ!G402:G406)</f>
        <v>0</v>
      </c>
      <c r="D82" s="35" t="n">
        <f aca="false">SUM(X投稿ログ!G402:G406)</f>
        <v>0</v>
      </c>
      <c r="E82" s="35" t="n">
        <f aca="false">SUM(X投稿ログ!H402:H406)</f>
        <v>0</v>
      </c>
      <c r="F82" s="33" t="n">
        <f aca="false">SUM(X投稿ログ!I402:I406)</f>
        <v>0</v>
      </c>
      <c r="G82" s="33" t="n">
        <f aca="false">SUM(X投稿ログ!J402:J406)</f>
        <v>0</v>
      </c>
      <c r="H82" s="36" t="str">
        <f aca="false">IFERROR(E82/D82,"")</f>
        <v/>
      </c>
      <c r="I82" s="33" t="str">
        <f aca="false">IFERROR(INDEX(X投稿ログ!B402:B406,MATCH(MAX(X投稿ログ!G402:G406),X投稿ログ!G402:G406,0)),"")</f>
        <v/>
      </c>
      <c r="J82" s="33" t="str">
        <f aca="false">IFERROR(INDEX(X投稿ログ!C402:C406,MATCH(MAX(X投稿ログ!G402:G406),X投稿ログ!G402:G406,0)),"")</f>
        <v/>
      </c>
      <c r="K82" s="33" t="n">
        <f aca="false">IFERROR(Xフォロワー推移!C82,"")</f>
        <v>0</v>
      </c>
      <c r="L82" s="33"/>
      <c r="M82" s="33"/>
    </row>
    <row r="83" customFormat="false" ht="15" hidden="false" customHeight="true" outlineLevel="0" collapsed="false">
      <c r="A83" s="33" t="s">
        <v>148</v>
      </c>
      <c r="B83" s="34" t="s">
        <v>197</v>
      </c>
      <c r="C83" s="33" t="n">
        <f aca="false">COUNTA(X投稿ログ!G407:G411)</f>
        <v>0</v>
      </c>
      <c r="D83" s="35" t="n">
        <f aca="false">SUM(X投稿ログ!G407:G411)</f>
        <v>0</v>
      </c>
      <c r="E83" s="35" t="n">
        <f aca="false">SUM(X投稿ログ!H407:H411)</f>
        <v>0</v>
      </c>
      <c r="F83" s="33" t="n">
        <f aca="false">SUM(X投稿ログ!I407:I411)</f>
        <v>0</v>
      </c>
      <c r="G83" s="33" t="n">
        <f aca="false">SUM(X投稿ログ!J407:J411)</f>
        <v>0</v>
      </c>
      <c r="H83" s="36" t="str">
        <f aca="false">IFERROR(E83/D83,"")</f>
        <v/>
      </c>
      <c r="I83" s="33" t="str">
        <f aca="false">IFERROR(INDEX(X投稿ログ!B407:B411,MATCH(MAX(X投稿ログ!G407:G411),X投稿ログ!G407:G411,0)),"")</f>
        <v/>
      </c>
      <c r="J83" s="33" t="str">
        <f aca="false">IFERROR(INDEX(X投稿ログ!C407:C411,MATCH(MAX(X投稿ログ!G407:G411),X投稿ログ!G407:G411,0)),"")</f>
        <v/>
      </c>
      <c r="K83" s="33" t="n">
        <f aca="false">IFERROR(Xフォロワー推移!C83,"")</f>
        <v>0</v>
      </c>
      <c r="L83" s="33"/>
      <c r="M83" s="33"/>
    </row>
    <row r="84" customFormat="false" ht="15" hidden="false" customHeight="true" outlineLevel="0" collapsed="false">
      <c r="A84" s="22" t="s">
        <v>149</v>
      </c>
      <c r="B84" s="23" t="s">
        <v>198</v>
      </c>
      <c r="C84" s="22" t="n">
        <f aca="false">COUNTA(X投稿ログ!G412:G416)</f>
        <v>0</v>
      </c>
      <c r="D84" s="26" t="n">
        <f aca="false">SUM(X投稿ログ!G412:G416)</f>
        <v>0</v>
      </c>
      <c r="E84" s="26" t="n">
        <f aca="false">SUM(X投稿ログ!H412:H416)</f>
        <v>0</v>
      </c>
      <c r="F84" s="22" t="n">
        <f aca="false">SUM(X投稿ログ!I412:I416)</f>
        <v>0</v>
      </c>
      <c r="G84" s="22" t="n">
        <f aca="false">SUM(X投稿ログ!J412:J416)</f>
        <v>0</v>
      </c>
      <c r="H84" s="24" t="str">
        <f aca="false">IFERROR(E84/D84,"")</f>
        <v/>
      </c>
      <c r="I84" s="22" t="str">
        <f aca="false">IFERROR(INDEX(X投稿ログ!B412:B416,MATCH(MAX(X投稿ログ!G412:G416),X投稿ログ!G412:G416,0)),"")</f>
        <v/>
      </c>
      <c r="J84" s="22" t="str">
        <f aca="false">IFERROR(INDEX(X投稿ログ!C412:C416,MATCH(MAX(X投稿ログ!G412:G416),X投稿ログ!G412:G416,0)),"")</f>
        <v/>
      </c>
      <c r="K84" s="22" t="n">
        <f aca="false">IFERROR(Xフォロワー推移!C84,"")</f>
        <v>0</v>
      </c>
      <c r="L84" s="22"/>
      <c r="M84" s="22"/>
    </row>
    <row r="85" customFormat="false" ht="15" hidden="false" customHeight="true" outlineLevel="0" collapsed="false">
      <c r="A85" s="27" t="s">
        <v>150</v>
      </c>
      <c r="B85" s="28" t="s">
        <v>199</v>
      </c>
      <c r="C85" s="27" t="n">
        <f aca="false">COUNTA(X投稿ログ!G417:G421)</f>
        <v>0</v>
      </c>
      <c r="D85" s="31" t="n">
        <f aca="false">SUM(X投稿ログ!G417:G421)</f>
        <v>0</v>
      </c>
      <c r="E85" s="31" t="n">
        <f aca="false">SUM(X投稿ログ!H417:H421)</f>
        <v>0</v>
      </c>
      <c r="F85" s="27" t="n">
        <f aca="false">SUM(X投稿ログ!I417:I421)</f>
        <v>0</v>
      </c>
      <c r="G85" s="27" t="n">
        <f aca="false">SUM(X投稿ログ!J417:J421)</f>
        <v>0</v>
      </c>
      <c r="H85" s="29" t="str">
        <f aca="false">IFERROR(E85/D85,"")</f>
        <v/>
      </c>
      <c r="I85" s="27" t="str">
        <f aca="false">IFERROR(INDEX(X投稿ログ!B417:B421,MATCH(MAX(X投稿ログ!G417:G421),X投稿ログ!G417:G421,0)),"")</f>
        <v/>
      </c>
      <c r="J85" s="27" t="str">
        <f aca="false">IFERROR(INDEX(X投稿ログ!C417:C421,MATCH(MAX(X投稿ログ!G417:G421),X投稿ログ!G417:G421,0)),"")</f>
        <v/>
      </c>
      <c r="K85" s="27" t="n">
        <f aca="false">IFERROR(Xフォロワー推移!C85,"")</f>
        <v>0</v>
      </c>
      <c r="L85" s="27"/>
      <c r="M85" s="27"/>
    </row>
    <row r="86" customFormat="false" ht="15" hidden="false" customHeight="true" outlineLevel="0" collapsed="false">
      <c r="A86" s="22" t="s">
        <v>151</v>
      </c>
      <c r="B86" s="23" t="s">
        <v>193</v>
      </c>
      <c r="C86" s="22" t="n">
        <f aca="false">COUNTA(X投稿ログ!G422:G426)</f>
        <v>0</v>
      </c>
      <c r="D86" s="26" t="n">
        <f aca="false">SUM(X投稿ログ!G422:G426)</f>
        <v>0</v>
      </c>
      <c r="E86" s="26" t="n">
        <f aca="false">SUM(X投稿ログ!H422:H426)</f>
        <v>0</v>
      </c>
      <c r="F86" s="22" t="n">
        <f aca="false">SUM(X投稿ログ!I422:I426)</f>
        <v>0</v>
      </c>
      <c r="G86" s="22" t="n">
        <f aca="false">SUM(X投稿ログ!J422:J426)</f>
        <v>0</v>
      </c>
      <c r="H86" s="24" t="str">
        <f aca="false">IFERROR(E86/D86,"")</f>
        <v/>
      </c>
      <c r="I86" s="22" t="str">
        <f aca="false">IFERROR(INDEX(X投稿ログ!B422:B426,MATCH(MAX(X投稿ログ!G422:G426),X投稿ログ!G422:G426,0)),"")</f>
        <v/>
      </c>
      <c r="J86" s="22" t="str">
        <f aca="false">IFERROR(INDEX(X投稿ログ!C422:C426,MATCH(MAX(X投稿ログ!G422:G426),X投稿ログ!G422:G426,0)),"")</f>
        <v/>
      </c>
      <c r="K86" s="22" t="n">
        <f aca="false">IFERROR(Xフォロワー推移!C86,"")</f>
        <v>0</v>
      </c>
      <c r="L86" s="22"/>
      <c r="M86" s="22"/>
    </row>
    <row r="87" customFormat="false" ht="15" hidden="false" customHeight="true" outlineLevel="0" collapsed="false">
      <c r="A87" s="27" t="s">
        <v>152</v>
      </c>
      <c r="B87" s="28" t="s">
        <v>194</v>
      </c>
      <c r="C87" s="27" t="n">
        <f aca="false">COUNTA(X投稿ログ!G427:G431)</f>
        <v>0</v>
      </c>
      <c r="D87" s="31" t="n">
        <f aca="false">SUM(X投稿ログ!G427:G431)</f>
        <v>0</v>
      </c>
      <c r="E87" s="31" t="n">
        <f aca="false">SUM(X投稿ログ!H427:H431)</f>
        <v>0</v>
      </c>
      <c r="F87" s="27" t="n">
        <f aca="false">SUM(X投稿ログ!I427:I431)</f>
        <v>0</v>
      </c>
      <c r="G87" s="27" t="n">
        <f aca="false">SUM(X投稿ログ!J427:J431)</f>
        <v>0</v>
      </c>
      <c r="H87" s="29" t="str">
        <f aca="false">IFERROR(E87/D87,"")</f>
        <v/>
      </c>
      <c r="I87" s="27" t="str">
        <f aca="false">IFERROR(INDEX(X投稿ログ!B427:B431,MATCH(MAX(X投稿ログ!G427:G431),X投稿ログ!G427:G431,0)),"")</f>
        <v/>
      </c>
      <c r="J87" s="27" t="str">
        <f aca="false">IFERROR(INDEX(X投稿ログ!C427:C431,MATCH(MAX(X投稿ログ!G427:G431),X投稿ログ!G427:G431,0)),"")</f>
        <v/>
      </c>
      <c r="K87" s="27" t="n">
        <f aca="false">IFERROR(Xフォロワー推移!C87,"")</f>
        <v>0</v>
      </c>
      <c r="L87" s="27"/>
      <c r="M87" s="27"/>
    </row>
    <row r="88" customFormat="false" ht="15" hidden="false" customHeight="true" outlineLevel="0" collapsed="false">
      <c r="A88" s="22" t="s">
        <v>153</v>
      </c>
      <c r="B88" s="23" t="s">
        <v>195</v>
      </c>
      <c r="C88" s="22" t="n">
        <f aca="false">COUNTA(X投稿ログ!G432:G436)</f>
        <v>0</v>
      </c>
      <c r="D88" s="26" t="n">
        <f aca="false">SUM(X投稿ログ!G432:G436)</f>
        <v>0</v>
      </c>
      <c r="E88" s="26" t="n">
        <f aca="false">SUM(X投稿ログ!H432:H436)</f>
        <v>0</v>
      </c>
      <c r="F88" s="22" t="n">
        <f aca="false">SUM(X投稿ログ!I432:I436)</f>
        <v>0</v>
      </c>
      <c r="G88" s="22" t="n">
        <f aca="false">SUM(X投稿ログ!J432:J436)</f>
        <v>0</v>
      </c>
      <c r="H88" s="24" t="str">
        <f aca="false">IFERROR(E88/D88,"")</f>
        <v/>
      </c>
      <c r="I88" s="22" t="str">
        <f aca="false">IFERROR(INDEX(X投稿ログ!B432:B436,MATCH(MAX(X投稿ログ!G432:G436),X投稿ログ!G432:G436,0)),"")</f>
        <v/>
      </c>
      <c r="J88" s="22" t="str">
        <f aca="false">IFERROR(INDEX(X投稿ログ!C432:C436,MATCH(MAX(X投稿ログ!G432:G436),X投稿ログ!G432:G436,0)),"")</f>
        <v/>
      </c>
      <c r="K88" s="22" t="n">
        <f aca="false">IFERROR(Xフォロワー推移!C88,"")</f>
        <v>0</v>
      </c>
      <c r="L88" s="22"/>
      <c r="M88" s="22"/>
    </row>
    <row r="89" customFormat="false" ht="15" hidden="false" customHeight="true" outlineLevel="0" collapsed="false">
      <c r="A89" s="33" t="s">
        <v>154</v>
      </c>
      <c r="B89" s="34" t="s">
        <v>196</v>
      </c>
      <c r="C89" s="33" t="n">
        <f aca="false">COUNTA(X投稿ログ!G437:G441)</f>
        <v>0</v>
      </c>
      <c r="D89" s="35" t="n">
        <f aca="false">SUM(X投稿ログ!G437:G441)</f>
        <v>0</v>
      </c>
      <c r="E89" s="35" t="n">
        <f aca="false">SUM(X投稿ログ!H437:H441)</f>
        <v>0</v>
      </c>
      <c r="F89" s="33" t="n">
        <f aca="false">SUM(X投稿ログ!I437:I441)</f>
        <v>0</v>
      </c>
      <c r="G89" s="33" t="n">
        <f aca="false">SUM(X投稿ログ!J437:J441)</f>
        <v>0</v>
      </c>
      <c r="H89" s="36" t="str">
        <f aca="false">IFERROR(E89/D89,"")</f>
        <v/>
      </c>
      <c r="I89" s="33" t="str">
        <f aca="false">IFERROR(INDEX(X投稿ログ!B437:B441,MATCH(MAX(X投稿ログ!G437:G441),X投稿ログ!G437:G441,0)),"")</f>
        <v/>
      </c>
      <c r="J89" s="33" t="str">
        <f aca="false">IFERROR(INDEX(X投稿ログ!C437:C441,MATCH(MAX(X投稿ログ!G437:G441),X投稿ログ!G437:G441,0)),"")</f>
        <v/>
      </c>
      <c r="K89" s="33" t="n">
        <f aca="false">IFERROR(Xフォロワー推移!C89,"")</f>
        <v>0</v>
      </c>
      <c r="L89" s="33"/>
      <c r="M89" s="33"/>
    </row>
    <row r="90" customFormat="false" ht="15" hidden="false" customHeight="true" outlineLevel="0" collapsed="false">
      <c r="A90" s="33" t="s">
        <v>155</v>
      </c>
      <c r="B90" s="34" t="s">
        <v>197</v>
      </c>
      <c r="C90" s="33" t="n">
        <f aca="false">COUNTA(X投稿ログ!G442:G446)</f>
        <v>0</v>
      </c>
      <c r="D90" s="35" t="n">
        <f aca="false">SUM(X投稿ログ!G442:G446)</f>
        <v>0</v>
      </c>
      <c r="E90" s="35" t="n">
        <f aca="false">SUM(X投稿ログ!H442:H446)</f>
        <v>0</v>
      </c>
      <c r="F90" s="33" t="n">
        <f aca="false">SUM(X投稿ログ!I442:I446)</f>
        <v>0</v>
      </c>
      <c r="G90" s="33" t="n">
        <f aca="false">SUM(X投稿ログ!J442:J446)</f>
        <v>0</v>
      </c>
      <c r="H90" s="36" t="str">
        <f aca="false">IFERROR(E90/D90,"")</f>
        <v/>
      </c>
      <c r="I90" s="33" t="str">
        <f aca="false">IFERROR(INDEX(X投稿ログ!B442:B446,MATCH(MAX(X投稿ログ!G442:G446),X投稿ログ!G442:G446,0)),"")</f>
        <v/>
      </c>
      <c r="J90" s="33" t="str">
        <f aca="false">IFERROR(INDEX(X投稿ログ!C442:C446,MATCH(MAX(X投稿ログ!G442:G446),X投稿ログ!G442:G446,0)),"")</f>
        <v/>
      </c>
      <c r="K90" s="33" t="n">
        <f aca="false">IFERROR(Xフォロワー推移!C90,"")</f>
        <v>0</v>
      </c>
      <c r="L90" s="33"/>
      <c r="M90" s="33"/>
    </row>
    <row r="91" customFormat="false" ht="15" hidden="false" customHeight="true" outlineLevel="0" collapsed="false">
      <c r="A91" s="27" t="s">
        <v>156</v>
      </c>
      <c r="B91" s="28" t="s">
        <v>198</v>
      </c>
      <c r="C91" s="27" t="n">
        <f aca="false">COUNTA(X投稿ログ!G447:G451)</f>
        <v>0</v>
      </c>
      <c r="D91" s="31" t="n">
        <f aca="false">SUM(X投稿ログ!G447:G451)</f>
        <v>0</v>
      </c>
      <c r="E91" s="31" t="n">
        <f aca="false">SUM(X投稿ログ!H447:H451)</f>
        <v>0</v>
      </c>
      <c r="F91" s="27" t="n">
        <f aca="false">SUM(X投稿ログ!I447:I451)</f>
        <v>0</v>
      </c>
      <c r="G91" s="27" t="n">
        <f aca="false">SUM(X投稿ログ!J447:J451)</f>
        <v>0</v>
      </c>
      <c r="H91" s="29" t="str">
        <f aca="false">IFERROR(E91/D91,"")</f>
        <v/>
      </c>
      <c r="I91" s="27" t="str">
        <f aca="false">IFERROR(INDEX(X投稿ログ!B447:B451,MATCH(MAX(X投稿ログ!G447:G451),X投稿ログ!G447:G451,0)),"")</f>
        <v/>
      </c>
      <c r="J91" s="27" t="str">
        <f aca="false">IFERROR(INDEX(X投稿ログ!C447:C451,MATCH(MAX(X投稿ログ!G447:G451),X投稿ログ!G447:G451,0)),"")</f>
        <v/>
      </c>
      <c r="K91" s="27" t="n">
        <f aca="false">IFERROR(Xフォロワー推移!C91,"")</f>
        <v>0</v>
      </c>
      <c r="L91" s="27"/>
      <c r="M91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8"/>
    <col collapsed="false" customWidth="true" hidden="false" outlineLevel="0" max="5" min="4" style="1" width="14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10" min="9" style="1" width="28"/>
  </cols>
  <sheetData>
    <row r="1" customFormat="false" ht="17.25" hidden="false" customHeight="true" outlineLevel="0" collapsed="false">
      <c r="A1" s="32" t="s">
        <v>200</v>
      </c>
      <c r="B1" s="32"/>
      <c r="C1" s="32"/>
      <c r="D1" s="32"/>
      <c r="E1" s="32"/>
      <c r="F1" s="32"/>
      <c r="G1" s="32"/>
      <c r="H1" s="32"/>
      <c r="I1" s="32"/>
      <c r="J1" s="32"/>
    </row>
    <row r="3" customFormat="false" ht="27.75" hidden="false" customHeight="true" outlineLevel="0" collapsed="false">
      <c r="A3" s="20" t="s">
        <v>201</v>
      </c>
      <c r="B3" s="20" t="s">
        <v>26</v>
      </c>
      <c r="C3" s="20" t="s">
        <v>158</v>
      </c>
      <c r="D3" s="20" t="s">
        <v>184</v>
      </c>
      <c r="E3" s="20" t="s">
        <v>185</v>
      </c>
      <c r="F3" s="20" t="s">
        <v>202</v>
      </c>
      <c r="G3" s="20" t="s">
        <v>45</v>
      </c>
      <c r="H3" s="20" t="s">
        <v>203</v>
      </c>
      <c r="I3" s="20" t="s">
        <v>204</v>
      </c>
      <c r="J3" s="20" t="s">
        <v>205</v>
      </c>
    </row>
    <row r="4" customFormat="false" ht="15" hidden="false" customHeight="true" outlineLevel="0" collapsed="false">
      <c r="A4" s="19" t="s">
        <v>206</v>
      </c>
      <c r="B4" s="19" t="s">
        <v>207</v>
      </c>
      <c r="C4" s="19" t="n">
        <f aca="false">SUM(日次ダイジェスト!C2:C8)</f>
        <v>0</v>
      </c>
      <c r="D4" s="16" t="n">
        <f aca="false">SUM(日次ダイジェスト!D2:D8)</f>
        <v>0</v>
      </c>
      <c r="E4" s="16" t="n">
        <f aca="false">SUM(日次ダイジェスト!E2:E8)</f>
        <v>0</v>
      </c>
      <c r="F4" s="18" t="str">
        <f aca="false">IFERROR(E4/D4,"")</f>
        <v/>
      </c>
      <c r="G4" s="19" t="n">
        <f aca="false">SUM(日次ダイジェスト!K2:K8)</f>
        <v>0</v>
      </c>
      <c r="H4" s="19"/>
      <c r="I4" s="19"/>
      <c r="J4" s="19"/>
    </row>
    <row r="5" customFormat="false" ht="15" hidden="false" customHeight="true" outlineLevel="0" collapsed="false">
      <c r="A5" s="37" t="s">
        <v>208</v>
      </c>
      <c r="B5" s="37" t="s">
        <v>209</v>
      </c>
      <c r="C5" s="37" t="n">
        <f aca="false">SUM(日次ダイジェスト!C9:C15)</f>
        <v>0</v>
      </c>
      <c r="D5" s="38" t="n">
        <f aca="false">SUM(日次ダイジェスト!D9:D15)</f>
        <v>0</v>
      </c>
      <c r="E5" s="38" t="n">
        <f aca="false">SUM(日次ダイジェスト!E9:E15)</f>
        <v>0</v>
      </c>
      <c r="F5" s="39" t="str">
        <f aca="false">IFERROR(E5/D5,"")</f>
        <v/>
      </c>
      <c r="G5" s="37" t="n">
        <f aca="false">SUM(日次ダイジェスト!K9:K15)</f>
        <v>0</v>
      </c>
      <c r="H5" s="37"/>
      <c r="I5" s="37"/>
      <c r="J5" s="37"/>
    </row>
    <row r="6" customFormat="false" ht="15" hidden="false" customHeight="true" outlineLevel="0" collapsed="false">
      <c r="A6" s="19" t="s">
        <v>210</v>
      </c>
      <c r="B6" s="19" t="s">
        <v>211</v>
      </c>
      <c r="C6" s="19" t="n">
        <f aca="false">SUM(日次ダイジェスト!C16:C22)</f>
        <v>0</v>
      </c>
      <c r="D6" s="16" t="n">
        <f aca="false">SUM(日次ダイジェスト!D16:D22)</f>
        <v>0</v>
      </c>
      <c r="E6" s="16" t="n">
        <f aca="false">SUM(日次ダイジェスト!E16:E22)</f>
        <v>0</v>
      </c>
      <c r="F6" s="18" t="str">
        <f aca="false">IFERROR(E6/D6,"")</f>
        <v/>
      </c>
      <c r="G6" s="19" t="n">
        <f aca="false">SUM(日次ダイジェスト!K16:K22)</f>
        <v>0</v>
      </c>
      <c r="H6" s="19"/>
      <c r="I6" s="19"/>
      <c r="J6" s="19"/>
    </row>
    <row r="7" customFormat="false" ht="15" hidden="false" customHeight="true" outlineLevel="0" collapsed="false">
      <c r="A7" s="37" t="s">
        <v>212</v>
      </c>
      <c r="B7" s="37" t="s">
        <v>213</v>
      </c>
      <c r="C7" s="37" t="n">
        <f aca="false">SUM(日次ダイジェスト!C23:C29)</f>
        <v>0</v>
      </c>
      <c r="D7" s="38" t="n">
        <f aca="false">SUM(日次ダイジェスト!D23:D29)</f>
        <v>0</v>
      </c>
      <c r="E7" s="38" t="n">
        <f aca="false">SUM(日次ダイジェスト!E23:E29)</f>
        <v>0</v>
      </c>
      <c r="F7" s="39" t="str">
        <f aca="false">IFERROR(E7/D7,"")</f>
        <v/>
      </c>
      <c r="G7" s="37" t="n">
        <f aca="false">SUM(日次ダイジェスト!K23:K29)</f>
        <v>0</v>
      </c>
      <c r="H7" s="37"/>
      <c r="I7" s="37"/>
      <c r="J7" s="37"/>
    </row>
    <row r="8" customFormat="false" ht="15" hidden="false" customHeight="true" outlineLevel="0" collapsed="false">
      <c r="A8" s="19" t="s">
        <v>214</v>
      </c>
      <c r="B8" s="19" t="s">
        <v>215</v>
      </c>
      <c r="C8" s="19" t="n">
        <f aca="false">SUM(日次ダイジェスト!C30:C36)</f>
        <v>0</v>
      </c>
      <c r="D8" s="16" t="n">
        <f aca="false">SUM(日次ダイジェスト!D30:D36)</f>
        <v>0</v>
      </c>
      <c r="E8" s="16" t="n">
        <f aca="false">SUM(日次ダイジェスト!E30:E36)</f>
        <v>0</v>
      </c>
      <c r="F8" s="18" t="str">
        <f aca="false">IFERROR(E8/D8,"")</f>
        <v/>
      </c>
      <c r="G8" s="19" t="n">
        <f aca="false">SUM(日次ダイジェスト!K30:K36)</f>
        <v>0</v>
      </c>
      <c r="H8" s="19"/>
      <c r="I8" s="19"/>
      <c r="J8" s="19"/>
    </row>
    <row r="9" customFormat="false" ht="15" hidden="false" customHeight="true" outlineLevel="0" collapsed="false">
      <c r="A9" s="37" t="s">
        <v>216</v>
      </c>
      <c r="B9" s="37" t="s">
        <v>217</v>
      </c>
      <c r="C9" s="37" t="n">
        <f aca="false">SUM(日次ダイジェスト!C37:C43)</f>
        <v>0</v>
      </c>
      <c r="D9" s="38" t="n">
        <f aca="false">SUM(日次ダイジェスト!D37:D43)</f>
        <v>0</v>
      </c>
      <c r="E9" s="38" t="n">
        <f aca="false">SUM(日次ダイジェスト!E37:E43)</f>
        <v>0</v>
      </c>
      <c r="F9" s="39" t="str">
        <f aca="false">IFERROR(E9/D9,"")</f>
        <v/>
      </c>
      <c r="G9" s="37" t="n">
        <f aca="false">SUM(日次ダイジェスト!K37:K43)</f>
        <v>0</v>
      </c>
      <c r="H9" s="37"/>
      <c r="I9" s="37"/>
      <c r="J9" s="37"/>
    </row>
    <row r="10" customFormat="false" ht="15" hidden="false" customHeight="true" outlineLevel="0" collapsed="false">
      <c r="A10" s="19" t="s">
        <v>218</v>
      </c>
      <c r="B10" s="19" t="s">
        <v>219</v>
      </c>
      <c r="C10" s="19" t="n">
        <f aca="false">SUM(日次ダイジェスト!C44:C50)</f>
        <v>0</v>
      </c>
      <c r="D10" s="16" t="n">
        <f aca="false">SUM(日次ダイジェスト!D44:D50)</f>
        <v>0</v>
      </c>
      <c r="E10" s="16" t="n">
        <f aca="false">SUM(日次ダイジェスト!E44:E50)</f>
        <v>0</v>
      </c>
      <c r="F10" s="18" t="str">
        <f aca="false">IFERROR(E10/D10,"")</f>
        <v/>
      </c>
      <c r="G10" s="19" t="n">
        <f aca="false">SUM(日次ダイジェスト!K44:K50)</f>
        <v>0</v>
      </c>
      <c r="H10" s="19"/>
      <c r="I10" s="19"/>
      <c r="J10" s="19"/>
    </row>
    <row r="11" customFormat="false" ht="15" hidden="false" customHeight="true" outlineLevel="0" collapsed="false">
      <c r="A11" s="37" t="s">
        <v>220</v>
      </c>
      <c r="B11" s="37" t="s">
        <v>221</v>
      </c>
      <c r="C11" s="37" t="n">
        <f aca="false">SUM(日次ダイジェスト!C51:C57)</f>
        <v>0</v>
      </c>
      <c r="D11" s="38" t="n">
        <f aca="false">SUM(日次ダイジェスト!D51:D57)</f>
        <v>0</v>
      </c>
      <c r="E11" s="38" t="n">
        <f aca="false">SUM(日次ダイジェスト!E51:E57)</f>
        <v>0</v>
      </c>
      <c r="F11" s="39" t="str">
        <f aca="false">IFERROR(E11/D11,"")</f>
        <v/>
      </c>
      <c r="G11" s="37" t="n">
        <f aca="false">SUM(日次ダイジェスト!K51:K57)</f>
        <v>0</v>
      </c>
      <c r="H11" s="37"/>
      <c r="I11" s="37"/>
      <c r="J11" s="37"/>
    </row>
    <row r="12" customFormat="false" ht="15" hidden="false" customHeight="true" outlineLevel="0" collapsed="false">
      <c r="A12" s="19" t="s">
        <v>222</v>
      </c>
      <c r="B12" s="19" t="s">
        <v>223</v>
      </c>
      <c r="C12" s="19" t="n">
        <f aca="false">SUM(日次ダイジェスト!C58:C64)</f>
        <v>0</v>
      </c>
      <c r="D12" s="16" t="n">
        <f aca="false">SUM(日次ダイジェスト!D58:D64)</f>
        <v>0</v>
      </c>
      <c r="E12" s="16" t="n">
        <f aca="false">SUM(日次ダイジェスト!E58:E64)</f>
        <v>0</v>
      </c>
      <c r="F12" s="18" t="str">
        <f aca="false">IFERROR(E12/D12,"")</f>
        <v/>
      </c>
      <c r="G12" s="19" t="n">
        <f aca="false">SUM(日次ダイジェスト!K58:K64)</f>
        <v>0</v>
      </c>
      <c r="H12" s="19"/>
      <c r="I12" s="19"/>
      <c r="J12" s="19"/>
    </row>
    <row r="13" customFormat="false" ht="15" hidden="false" customHeight="true" outlineLevel="0" collapsed="false">
      <c r="A13" s="37" t="s">
        <v>224</v>
      </c>
      <c r="B13" s="37" t="s">
        <v>225</v>
      </c>
      <c r="C13" s="37" t="n">
        <f aca="false">SUM(日次ダイジェスト!C65:C71)</f>
        <v>0</v>
      </c>
      <c r="D13" s="38" t="n">
        <f aca="false">SUM(日次ダイジェスト!D65:D71)</f>
        <v>0</v>
      </c>
      <c r="E13" s="38" t="n">
        <f aca="false">SUM(日次ダイジェスト!E65:E71)</f>
        <v>0</v>
      </c>
      <c r="F13" s="39" t="str">
        <f aca="false">IFERROR(E13/D13,"")</f>
        <v/>
      </c>
      <c r="G13" s="37" t="n">
        <f aca="false">SUM(日次ダイジェスト!K65:K71)</f>
        <v>0</v>
      </c>
      <c r="H13" s="37"/>
      <c r="I13" s="37"/>
      <c r="J13" s="37"/>
    </row>
    <row r="14" customFormat="false" ht="15" hidden="false" customHeight="true" outlineLevel="0" collapsed="false">
      <c r="A14" s="19" t="s">
        <v>226</v>
      </c>
      <c r="B14" s="19" t="s">
        <v>227</v>
      </c>
      <c r="C14" s="19" t="n">
        <f aca="false">SUM(日次ダイジェスト!C72:C78)</f>
        <v>0</v>
      </c>
      <c r="D14" s="16" t="n">
        <f aca="false">SUM(日次ダイジェスト!D72:D78)</f>
        <v>0</v>
      </c>
      <c r="E14" s="16" t="n">
        <f aca="false">SUM(日次ダイジェスト!E72:E78)</f>
        <v>0</v>
      </c>
      <c r="F14" s="18" t="str">
        <f aca="false">IFERROR(E14/D14,"")</f>
        <v/>
      </c>
      <c r="G14" s="19" t="n">
        <f aca="false">SUM(日次ダイジェスト!K72:K78)</f>
        <v>0</v>
      </c>
      <c r="H14" s="19"/>
      <c r="I14" s="19"/>
      <c r="J14" s="19"/>
    </row>
    <row r="15" customFormat="false" ht="15" hidden="false" customHeight="true" outlineLevel="0" collapsed="false">
      <c r="A15" s="37" t="s">
        <v>228</v>
      </c>
      <c r="B15" s="37" t="s">
        <v>229</v>
      </c>
      <c r="C15" s="37" t="n">
        <f aca="false">SUM(日次ダイジェスト!C79:C85)</f>
        <v>0</v>
      </c>
      <c r="D15" s="38" t="n">
        <f aca="false">SUM(日次ダイジェスト!D79:D85)</f>
        <v>0</v>
      </c>
      <c r="E15" s="38" t="n">
        <f aca="false">SUM(日次ダイジェスト!E79:E85)</f>
        <v>0</v>
      </c>
      <c r="F15" s="39" t="str">
        <f aca="false">IFERROR(E15/D15,"")</f>
        <v/>
      </c>
      <c r="G15" s="37" t="n">
        <f aca="false">SUM(日次ダイジェスト!K79:K85)</f>
        <v>0</v>
      </c>
      <c r="H15" s="37"/>
      <c r="I15" s="37"/>
      <c r="J15" s="37"/>
    </row>
    <row r="16" customFormat="false" ht="15" hidden="false" customHeight="true" outlineLevel="0" collapsed="false">
      <c r="A16" s="19" t="s">
        <v>230</v>
      </c>
      <c r="B16" s="19" t="s">
        <v>231</v>
      </c>
      <c r="C16" s="19" t="n">
        <f aca="false">SUM(日次ダイジェスト!C86:C91)</f>
        <v>0</v>
      </c>
      <c r="D16" s="16" t="n">
        <f aca="false">SUM(日次ダイジェスト!D86:D91)</f>
        <v>0</v>
      </c>
      <c r="E16" s="16" t="n">
        <f aca="false">SUM(日次ダイジェスト!E86:E91)</f>
        <v>0</v>
      </c>
      <c r="F16" s="18" t="str">
        <f aca="false">IFERROR(E16/D16,"")</f>
        <v/>
      </c>
      <c r="G16" s="19" t="n">
        <f aca="false">SUM(日次ダイジェスト!K86:K91)</f>
        <v>0</v>
      </c>
      <c r="H16" s="19"/>
      <c r="I16" s="19"/>
      <c r="J16" s="19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4" min="3" style="1" width="44"/>
    <col collapsed="false" customWidth="true" hidden="false" outlineLevel="0" max="6" min="5" style="1" width="14"/>
  </cols>
  <sheetData>
    <row r="1" customFormat="false" ht="17.25" hidden="false" customHeight="true" outlineLevel="0" collapsed="false">
      <c r="A1" s="40" t="s">
        <v>232</v>
      </c>
      <c r="B1" s="40"/>
      <c r="C1" s="40"/>
      <c r="D1" s="40"/>
      <c r="E1" s="40"/>
      <c r="F1" s="40"/>
    </row>
    <row r="3" customFormat="false" ht="15" hidden="false" customHeight="true" outlineLevel="0" collapsed="false">
      <c r="A3" s="3" t="s">
        <v>233</v>
      </c>
    </row>
    <row r="4" customFormat="false" ht="15" hidden="false" customHeight="true" outlineLevel="0" collapsed="false">
      <c r="A4" s="41" t="s">
        <v>234</v>
      </c>
    </row>
    <row r="5" customFormat="false" ht="15" hidden="false" customHeight="true" outlineLevel="0" collapsed="false">
      <c r="A5" s="41" t="s">
        <v>235</v>
      </c>
    </row>
    <row r="7" customFormat="false" ht="27.75" hidden="false" customHeight="true" outlineLevel="0" collapsed="false">
      <c r="A7" s="5" t="s">
        <v>236</v>
      </c>
      <c r="B7" s="5" t="s">
        <v>237</v>
      </c>
      <c r="C7" s="5" t="s">
        <v>238</v>
      </c>
      <c r="D7" s="5" t="s">
        <v>239</v>
      </c>
      <c r="E7" s="5" t="s">
        <v>240</v>
      </c>
      <c r="F7" s="5" t="s">
        <v>241</v>
      </c>
    </row>
    <row r="8" customFormat="false" ht="27.75" hidden="false" customHeight="true" outlineLevel="0" collapsed="false">
      <c r="A8" s="22" t="s">
        <v>73</v>
      </c>
      <c r="B8" s="42" t="s">
        <v>242</v>
      </c>
      <c r="C8" s="42" t="s">
        <v>243</v>
      </c>
      <c r="D8" s="42" t="s">
        <v>244</v>
      </c>
      <c r="E8" s="42"/>
      <c r="F8" s="42"/>
    </row>
    <row r="9" customFormat="false" ht="27.75" hidden="false" customHeight="true" outlineLevel="0" collapsed="false">
      <c r="A9" s="22" t="s">
        <v>73</v>
      </c>
      <c r="B9" s="42" t="s">
        <v>48</v>
      </c>
      <c r="C9" s="43" t="s">
        <v>245</v>
      </c>
      <c r="D9" s="42" t="s">
        <v>246</v>
      </c>
      <c r="E9" s="43"/>
      <c r="F9" s="43"/>
    </row>
    <row r="10" customFormat="false" ht="15" hidden="false" customHeight="true" outlineLevel="0" collapsed="false">
      <c r="A10" s="22" t="s">
        <v>73</v>
      </c>
      <c r="B10" s="42" t="s">
        <v>247</v>
      </c>
      <c r="C10" s="42" t="s">
        <v>248</v>
      </c>
      <c r="D10" s="42" t="s">
        <v>249</v>
      </c>
      <c r="E10" s="43"/>
      <c r="F10" s="43"/>
    </row>
    <row r="11" customFormat="false" ht="27.75" hidden="false" customHeight="true" outlineLevel="0" collapsed="false">
      <c r="A11" s="22" t="s">
        <v>80</v>
      </c>
      <c r="B11" s="42" t="s">
        <v>250</v>
      </c>
      <c r="C11" s="42" t="s">
        <v>251</v>
      </c>
      <c r="D11" s="42" t="s">
        <v>252</v>
      </c>
      <c r="E11" s="43"/>
      <c r="F11" s="43"/>
    </row>
    <row r="12" customFormat="false" ht="27.75" hidden="false" customHeight="true" outlineLevel="0" collapsed="false">
      <c r="A12" s="22" t="s">
        <v>80</v>
      </c>
      <c r="B12" s="43" t="s">
        <v>253</v>
      </c>
      <c r="C12" s="42" t="s">
        <v>254</v>
      </c>
      <c r="D12" s="42" t="s">
        <v>255</v>
      </c>
      <c r="E12" s="43"/>
      <c r="F12" s="43"/>
    </row>
    <row r="13" customFormat="false" ht="15" hidden="false" customHeight="true" outlineLevel="0" collapsed="false">
      <c r="A13" s="44"/>
      <c r="B13" s="44"/>
      <c r="C13" s="44"/>
      <c r="D13" s="44"/>
      <c r="E13" s="44"/>
      <c r="F13" s="44"/>
    </row>
    <row r="14" customFormat="false" ht="15" hidden="false" customHeight="true" outlineLevel="0" collapsed="false">
      <c r="A14" s="44"/>
      <c r="B14" s="44"/>
      <c r="C14" s="44"/>
      <c r="D14" s="44"/>
      <c r="E14" s="44"/>
      <c r="F14" s="44"/>
    </row>
    <row r="15" customFormat="false" ht="15" hidden="false" customHeight="true" outlineLevel="0" collapsed="false">
      <c r="A15" s="44"/>
      <c r="B15" s="44"/>
      <c r="C15" s="44"/>
      <c r="D15" s="44"/>
      <c r="E15" s="44"/>
      <c r="F15" s="44"/>
    </row>
    <row r="16" customFormat="false" ht="15" hidden="false" customHeight="true" outlineLevel="0" collapsed="false">
      <c r="A16" s="44"/>
      <c r="B16" s="44"/>
      <c r="C16" s="44"/>
      <c r="D16" s="44"/>
      <c r="E16" s="44"/>
      <c r="F16" s="44"/>
    </row>
    <row r="17" customFormat="false" ht="15" hidden="false" customHeight="true" outlineLevel="0" collapsed="false">
      <c r="A17" s="44"/>
      <c r="B17" s="44"/>
      <c r="C17" s="44"/>
      <c r="D17" s="44"/>
      <c r="E17" s="44"/>
      <c r="F17" s="44"/>
    </row>
    <row r="18" customFormat="false" ht="15" hidden="false" customHeight="true" outlineLevel="0" collapsed="false">
      <c r="A18" s="44"/>
      <c r="B18" s="44"/>
      <c r="C18" s="44"/>
      <c r="D18" s="44"/>
      <c r="E18" s="44"/>
      <c r="F18" s="44"/>
    </row>
    <row r="19" customFormat="false" ht="15" hidden="false" customHeight="true" outlineLevel="0" collapsed="false">
      <c r="A19" s="44"/>
      <c r="B19" s="44"/>
      <c r="C19" s="44"/>
      <c r="D19" s="44"/>
      <c r="E19" s="44"/>
      <c r="F19" s="44"/>
    </row>
    <row r="20" customFormat="false" ht="15" hidden="false" customHeight="true" outlineLevel="0" collapsed="false">
      <c r="A20" s="44"/>
      <c r="B20" s="44"/>
      <c r="C20" s="44"/>
      <c r="D20" s="44"/>
      <c r="E20" s="44"/>
      <c r="F20" s="44"/>
    </row>
    <row r="21" customFormat="false" ht="15" hidden="false" customHeight="true" outlineLevel="0" collapsed="false">
      <c r="A21" s="44"/>
      <c r="B21" s="44"/>
      <c r="C21" s="44"/>
      <c r="D21" s="44"/>
      <c r="E21" s="44"/>
      <c r="F21" s="44"/>
    </row>
    <row r="22" customFormat="false" ht="15" hidden="false" customHeight="true" outlineLevel="0" collapsed="false">
      <c r="A22" s="44"/>
      <c r="B22" s="44"/>
      <c r="C22" s="44"/>
      <c r="D22" s="44"/>
      <c r="E22" s="44"/>
      <c r="F22" s="44"/>
    </row>
    <row r="23" customFormat="false" ht="15" hidden="false" customHeight="true" outlineLevel="0" collapsed="false">
      <c r="A23" s="44"/>
      <c r="B23" s="44"/>
      <c r="C23" s="44"/>
      <c r="D23" s="44"/>
      <c r="E23" s="44"/>
      <c r="F23" s="44"/>
    </row>
    <row r="24" customFormat="false" ht="15" hidden="false" customHeight="true" outlineLevel="0" collapsed="false">
      <c r="A24" s="44"/>
      <c r="B24" s="44"/>
      <c r="C24" s="44"/>
      <c r="D24" s="44"/>
      <c r="E24" s="44"/>
      <c r="F24" s="44"/>
    </row>
    <row r="25" customFormat="false" ht="15" hidden="false" customHeight="true" outlineLevel="0" collapsed="false">
      <c r="A25" s="44"/>
      <c r="B25" s="44"/>
      <c r="C25" s="44"/>
      <c r="D25" s="44"/>
      <c r="E25" s="44"/>
      <c r="F25" s="44"/>
    </row>
    <row r="26" customFormat="false" ht="15" hidden="false" customHeight="true" outlineLevel="0" collapsed="false">
      <c r="A26" s="44"/>
      <c r="B26" s="44"/>
      <c r="C26" s="44"/>
      <c r="D26" s="44"/>
      <c r="E26" s="44"/>
      <c r="F26" s="44"/>
    </row>
    <row r="27" customFormat="false" ht="15" hidden="false" customHeight="true" outlineLevel="0" collapsed="false">
      <c r="A27" s="44"/>
      <c r="B27" s="44"/>
      <c r="C27" s="44"/>
      <c r="D27" s="44"/>
      <c r="E27" s="44"/>
      <c r="F27" s="44"/>
    </row>
    <row r="28" customFormat="false" ht="15" hidden="false" customHeight="true" outlineLevel="0" collapsed="false">
      <c r="A28" s="44"/>
      <c r="B28" s="44"/>
      <c r="C28" s="44"/>
      <c r="D28" s="44"/>
      <c r="E28" s="44"/>
      <c r="F28" s="44"/>
    </row>
    <row r="29" customFormat="false" ht="15" hidden="false" customHeight="true" outlineLevel="0" collapsed="false">
      <c r="A29" s="44"/>
      <c r="B29" s="44"/>
      <c r="C29" s="44"/>
      <c r="D29" s="44"/>
      <c r="E29" s="44"/>
      <c r="F29" s="44"/>
    </row>
    <row r="30" customFormat="false" ht="15" hidden="false" customHeight="true" outlineLevel="0" collapsed="false">
      <c r="A30" s="44"/>
      <c r="B30" s="44"/>
      <c r="C30" s="44"/>
      <c r="D30" s="44"/>
      <c r="E30" s="44"/>
      <c r="F30" s="44"/>
    </row>
    <row r="31" customFormat="false" ht="15" hidden="false" customHeight="true" outlineLevel="0" collapsed="false">
      <c r="A31" s="44"/>
      <c r="B31" s="44"/>
      <c r="C31" s="44"/>
      <c r="D31" s="44"/>
      <c r="E31" s="44"/>
      <c r="F31" s="44"/>
    </row>
    <row r="32" customFormat="false" ht="15" hidden="false" customHeight="true" outlineLevel="0" collapsed="false">
      <c r="A32" s="44"/>
      <c r="B32" s="44"/>
      <c r="C32" s="44"/>
      <c r="D32" s="44"/>
      <c r="E32" s="44"/>
      <c r="F32" s="44"/>
    </row>
    <row r="35" customFormat="false" ht="17.25" hidden="false" customHeight="true" outlineLevel="0" collapsed="false">
      <c r="A35" s="45" t="s">
        <v>256</v>
      </c>
    </row>
    <row r="37" customFormat="false" ht="15" hidden="false" customHeight="true" outlineLevel="0" collapsed="false">
      <c r="A37" s="46" t="s">
        <v>257</v>
      </c>
    </row>
    <row r="38" customFormat="false" ht="15" hidden="false" customHeight="true" outlineLevel="0" collapsed="false">
      <c r="A38" s="46" t="s">
        <v>258</v>
      </c>
    </row>
    <row r="39" customFormat="false" ht="15" hidden="false" customHeight="true" outlineLevel="0" collapsed="false">
      <c r="A39" s="46" t="s">
        <v>259</v>
      </c>
    </row>
    <row r="40" customFormat="false" ht="15" hidden="false" customHeight="true" outlineLevel="0" collapsed="false">
      <c r="A40" s="46" t="s">
        <v>260</v>
      </c>
    </row>
    <row r="41" customFormat="false" ht="15" hidden="false" customHeight="true" outlineLevel="0" collapsed="false">
      <c r="A41" s="46" t="s">
        <v>261</v>
      </c>
    </row>
    <row r="42" customFormat="false" ht="15" hidden="false" customHeight="true" outlineLevel="0" collapsed="false">
      <c r="A42" s="46" t="s">
        <v>262</v>
      </c>
    </row>
    <row r="43" customFormat="false" ht="15" hidden="false" customHeight="true" outlineLevel="0" collapsed="false">
      <c r="A43" s="46" t="s">
        <v>263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48"/>
    <col collapsed="false" customWidth="true" hidden="false" outlineLevel="0" max="6" min="6" style="1" width="16"/>
    <col collapsed="false" customWidth="true" hidden="false" outlineLevel="0" max="7" min="7" style="1" width="8"/>
    <col collapsed="false" customWidth="true" hidden="false" outlineLevel="0" max="8" min="8" style="1" width="24"/>
  </cols>
  <sheetData>
    <row r="1" customFormat="false" ht="15" hidden="false" customHeight="true" outlineLevel="0" collapsed="false">
      <c r="A1" s="5" t="s">
        <v>182</v>
      </c>
      <c r="B1" s="5" t="s">
        <v>183</v>
      </c>
      <c r="C1" s="5" t="s">
        <v>48</v>
      </c>
      <c r="D1" s="5" t="s">
        <v>237</v>
      </c>
      <c r="E1" s="5" t="s">
        <v>264</v>
      </c>
      <c r="F1" s="5" t="s">
        <v>265</v>
      </c>
      <c r="G1" s="5" t="s">
        <v>266</v>
      </c>
      <c r="H1" s="5" t="s">
        <v>267</v>
      </c>
    </row>
    <row r="2" customFormat="false" ht="15" hidden="false" customHeight="true" outlineLevel="0" collapsed="false">
      <c r="A2" s="47" t="s">
        <v>2</v>
      </c>
      <c r="B2" s="48" t="s">
        <v>193</v>
      </c>
      <c r="C2" s="47" t="s">
        <v>268</v>
      </c>
      <c r="D2" s="48" t="s">
        <v>269</v>
      </c>
      <c r="E2" s="47" t="s">
        <v>270</v>
      </c>
      <c r="F2" s="47" t="s">
        <v>271</v>
      </c>
      <c r="G2" s="47"/>
      <c r="H2" s="47"/>
    </row>
    <row r="3" customFormat="false" ht="15" hidden="false" customHeight="true" outlineLevel="0" collapsed="false">
      <c r="A3" s="43" t="s">
        <v>2</v>
      </c>
      <c r="B3" s="42" t="s">
        <v>193</v>
      </c>
      <c r="C3" s="43" t="s">
        <v>268</v>
      </c>
      <c r="D3" s="42" t="s">
        <v>269</v>
      </c>
      <c r="E3" s="43" t="s">
        <v>272</v>
      </c>
      <c r="F3" s="43" t="s">
        <v>273</v>
      </c>
      <c r="G3" s="43"/>
      <c r="H3" s="43"/>
    </row>
    <row r="4" customFormat="false" ht="15" hidden="false" customHeight="true" outlineLevel="0" collapsed="false">
      <c r="A4" s="47" t="s">
        <v>2</v>
      </c>
      <c r="B4" s="48" t="s">
        <v>193</v>
      </c>
      <c r="C4" s="47" t="s">
        <v>274</v>
      </c>
      <c r="D4" s="47" t="s">
        <v>275</v>
      </c>
      <c r="E4" s="47" t="s">
        <v>276</v>
      </c>
      <c r="F4" s="47" t="s">
        <v>273</v>
      </c>
      <c r="G4" s="47"/>
      <c r="H4" s="47"/>
    </row>
    <row r="5" customFormat="false" ht="15" hidden="false" customHeight="true" outlineLevel="0" collapsed="false">
      <c r="A5" s="43" t="s">
        <v>2</v>
      </c>
      <c r="B5" s="42" t="s">
        <v>193</v>
      </c>
      <c r="C5" s="43" t="s">
        <v>274</v>
      </c>
      <c r="D5" s="43" t="s">
        <v>275</v>
      </c>
      <c r="E5" s="42" t="s">
        <v>277</v>
      </c>
      <c r="F5" s="43" t="s">
        <v>273</v>
      </c>
      <c r="G5" s="43"/>
      <c r="H5" s="43"/>
    </row>
    <row r="6" customFormat="false" ht="15" hidden="false" customHeight="true" outlineLevel="0" collapsed="false">
      <c r="A6" s="47" t="s">
        <v>2</v>
      </c>
      <c r="B6" s="48" t="s">
        <v>193</v>
      </c>
      <c r="C6" s="47" t="s">
        <v>278</v>
      </c>
      <c r="D6" s="48" t="s">
        <v>279</v>
      </c>
      <c r="E6" s="48" t="s">
        <v>280</v>
      </c>
      <c r="F6" s="48" t="s">
        <v>281</v>
      </c>
      <c r="G6" s="47"/>
      <c r="H6" s="47"/>
    </row>
    <row r="7" customFormat="false" ht="15" hidden="false" customHeight="true" outlineLevel="0" collapsed="false">
      <c r="A7" s="43" t="s">
        <v>2</v>
      </c>
      <c r="B7" s="42" t="s">
        <v>193</v>
      </c>
      <c r="C7" s="43" t="s">
        <v>278</v>
      </c>
      <c r="D7" s="43" t="s">
        <v>12</v>
      </c>
      <c r="E7" s="42" t="s">
        <v>282</v>
      </c>
      <c r="F7" s="43" t="s">
        <v>271</v>
      </c>
      <c r="G7" s="43"/>
      <c r="H7" s="43"/>
    </row>
    <row r="8" customFormat="false" ht="27.75" hidden="false" customHeight="true" outlineLevel="0" collapsed="false">
      <c r="A8" s="47" t="s">
        <v>2</v>
      </c>
      <c r="B8" s="48" t="s">
        <v>193</v>
      </c>
      <c r="C8" s="47" t="s">
        <v>283</v>
      </c>
      <c r="D8" s="47" t="s">
        <v>275</v>
      </c>
      <c r="E8" s="48" t="s">
        <v>284</v>
      </c>
      <c r="F8" s="48" t="s">
        <v>285</v>
      </c>
      <c r="G8" s="47"/>
      <c r="H8" s="47"/>
    </row>
    <row r="9" customFormat="false" ht="15" hidden="false" customHeight="true" outlineLevel="0" collapsed="false">
      <c r="A9" s="43" t="s">
        <v>2</v>
      </c>
      <c r="B9" s="42" t="s">
        <v>193</v>
      </c>
      <c r="C9" s="43" t="s">
        <v>283</v>
      </c>
      <c r="D9" s="43" t="s">
        <v>275</v>
      </c>
      <c r="E9" s="42" t="s">
        <v>286</v>
      </c>
      <c r="F9" s="43" t="s">
        <v>273</v>
      </c>
      <c r="G9" s="43"/>
      <c r="H9" s="43"/>
    </row>
    <row r="10" customFormat="false" ht="15" hidden="false" customHeight="true" outlineLevel="0" collapsed="false">
      <c r="A10" s="47" t="s">
        <v>2</v>
      </c>
      <c r="B10" s="48" t="s">
        <v>193</v>
      </c>
      <c r="C10" s="47" t="s">
        <v>287</v>
      </c>
      <c r="D10" s="47" t="s">
        <v>275</v>
      </c>
      <c r="E10" s="48" t="s">
        <v>288</v>
      </c>
      <c r="F10" s="47" t="s">
        <v>273</v>
      </c>
      <c r="G10" s="47"/>
      <c r="H10" s="47"/>
    </row>
    <row r="11" customFormat="false" ht="15" hidden="false" customHeight="true" outlineLevel="0" collapsed="false">
      <c r="A11" s="43" t="s">
        <v>2</v>
      </c>
      <c r="B11" s="42" t="s">
        <v>193</v>
      </c>
      <c r="C11" s="43" t="s">
        <v>287</v>
      </c>
      <c r="D11" s="43" t="s">
        <v>275</v>
      </c>
      <c r="E11" s="42" t="s">
        <v>289</v>
      </c>
      <c r="F11" s="43" t="s">
        <v>273</v>
      </c>
      <c r="G11" s="43"/>
      <c r="H11" s="43"/>
    </row>
    <row r="12" customFormat="false" ht="15" hidden="false" customHeight="true" outlineLevel="0" collapsed="false">
      <c r="A12" s="47" t="s">
        <v>68</v>
      </c>
      <c r="B12" s="48" t="s">
        <v>194</v>
      </c>
      <c r="C12" s="47" t="s">
        <v>268</v>
      </c>
      <c r="D12" s="48" t="s">
        <v>269</v>
      </c>
      <c r="E12" s="47" t="s">
        <v>270</v>
      </c>
      <c r="F12" s="47" t="s">
        <v>271</v>
      </c>
      <c r="G12" s="47"/>
      <c r="H12" s="47"/>
    </row>
    <row r="13" customFormat="false" ht="15" hidden="false" customHeight="true" outlineLevel="0" collapsed="false">
      <c r="A13" s="43" t="s">
        <v>68</v>
      </c>
      <c r="B13" s="42" t="s">
        <v>194</v>
      </c>
      <c r="C13" s="43" t="s">
        <v>268</v>
      </c>
      <c r="D13" s="42" t="s">
        <v>269</v>
      </c>
      <c r="E13" s="43" t="s">
        <v>272</v>
      </c>
      <c r="F13" s="43" t="s">
        <v>273</v>
      </c>
      <c r="G13" s="43"/>
      <c r="H13" s="43"/>
    </row>
    <row r="14" customFormat="false" ht="15" hidden="false" customHeight="true" outlineLevel="0" collapsed="false">
      <c r="A14" s="47" t="s">
        <v>68</v>
      </c>
      <c r="B14" s="48" t="s">
        <v>194</v>
      </c>
      <c r="C14" s="47" t="s">
        <v>274</v>
      </c>
      <c r="D14" s="47" t="s">
        <v>275</v>
      </c>
      <c r="E14" s="47" t="s">
        <v>276</v>
      </c>
      <c r="F14" s="47" t="s">
        <v>273</v>
      </c>
      <c r="G14" s="47"/>
      <c r="H14" s="47"/>
    </row>
    <row r="15" customFormat="false" ht="15" hidden="false" customHeight="true" outlineLevel="0" collapsed="false">
      <c r="A15" s="43" t="s">
        <v>68</v>
      </c>
      <c r="B15" s="42" t="s">
        <v>194</v>
      </c>
      <c r="C15" s="43" t="s">
        <v>274</v>
      </c>
      <c r="D15" s="43" t="s">
        <v>275</v>
      </c>
      <c r="E15" s="42" t="s">
        <v>277</v>
      </c>
      <c r="F15" s="43" t="s">
        <v>273</v>
      </c>
      <c r="G15" s="43"/>
      <c r="H15" s="43"/>
    </row>
    <row r="16" customFormat="false" ht="15" hidden="false" customHeight="true" outlineLevel="0" collapsed="false">
      <c r="A16" s="47" t="s">
        <v>68</v>
      </c>
      <c r="B16" s="48" t="s">
        <v>194</v>
      </c>
      <c r="C16" s="47" t="s">
        <v>278</v>
      </c>
      <c r="D16" s="48" t="s">
        <v>279</v>
      </c>
      <c r="E16" s="48" t="s">
        <v>280</v>
      </c>
      <c r="F16" s="48" t="s">
        <v>281</v>
      </c>
      <c r="G16" s="47"/>
      <c r="H16" s="47"/>
    </row>
    <row r="17" customFormat="false" ht="15" hidden="false" customHeight="true" outlineLevel="0" collapsed="false">
      <c r="A17" s="43" t="s">
        <v>68</v>
      </c>
      <c r="B17" s="42" t="s">
        <v>194</v>
      </c>
      <c r="C17" s="43" t="s">
        <v>278</v>
      </c>
      <c r="D17" s="43" t="s">
        <v>12</v>
      </c>
      <c r="E17" s="42" t="s">
        <v>282</v>
      </c>
      <c r="F17" s="43" t="s">
        <v>271</v>
      </c>
      <c r="G17" s="43"/>
      <c r="H17" s="43"/>
    </row>
    <row r="18" customFormat="false" ht="27.75" hidden="false" customHeight="true" outlineLevel="0" collapsed="false">
      <c r="A18" s="47" t="s">
        <v>68</v>
      </c>
      <c r="B18" s="48" t="s">
        <v>194</v>
      </c>
      <c r="C18" s="47" t="s">
        <v>283</v>
      </c>
      <c r="D18" s="47" t="s">
        <v>275</v>
      </c>
      <c r="E18" s="48" t="s">
        <v>284</v>
      </c>
      <c r="F18" s="48" t="s">
        <v>285</v>
      </c>
      <c r="G18" s="47"/>
      <c r="H18" s="47"/>
    </row>
    <row r="19" customFormat="false" ht="15" hidden="false" customHeight="true" outlineLevel="0" collapsed="false">
      <c r="A19" s="43" t="s">
        <v>68</v>
      </c>
      <c r="B19" s="42" t="s">
        <v>194</v>
      </c>
      <c r="C19" s="43" t="s">
        <v>283</v>
      </c>
      <c r="D19" s="43" t="s">
        <v>275</v>
      </c>
      <c r="E19" s="42" t="s">
        <v>286</v>
      </c>
      <c r="F19" s="43" t="s">
        <v>273</v>
      </c>
      <c r="G19" s="43"/>
      <c r="H19" s="43"/>
    </row>
    <row r="20" customFormat="false" ht="15" hidden="false" customHeight="true" outlineLevel="0" collapsed="false">
      <c r="A20" s="47" t="s">
        <v>68</v>
      </c>
      <c r="B20" s="48" t="s">
        <v>194</v>
      </c>
      <c r="C20" s="47" t="s">
        <v>287</v>
      </c>
      <c r="D20" s="47" t="s">
        <v>275</v>
      </c>
      <c r="E20" s="48" t="s">
        <v>288</v>
      </c>
      <c r="F20" s="47" t="s">
        <v>273</v>
      </c>
      <c r="G20" s="47"/>
      <c r="H20" s="47"/>
    </row>
    <row r="21" customFormat="false" ht="15" hidden="false" customHeight="true" outlineLevel="0" collapsed="false">
      <c r="A21" s="43" t="s">
        <v>68</v>
      </c>
      <c r="B21" s="42" t="s">
        <v>194</v>
      </c>
      <c r="C21" s="43" t="s">
        <v>287</v>
      </c>
      <c r="D21" s="43" t="s">
        <v>275</v>
      </c>
      <c r="E21" s="42" t="s">
        <v>289</v>
      </c>
      <c r="F21" s="43" t="s">
        <v>273</v>
      </c>
      <c r="G21" s="43"/>
      <c r="H21" s="43"/>
    </row>
    <row r="22" customFormat="false" ht="15" hidden="false" customHeight="true" outlineLevel="0" collapsed="false">
      <c r="A22" s="47" t="s">
        <v>69</v>
      </c>
      <c r="B22" s="48" t="s">
        <v>195</v>
      </c>
      <c r="C22" s="47" t="s">
        <v>268</v>
      </c>
      <c r="D22" s="48" t="s">
        <v>269</v>
      </c>
      <c r="E22" s="47" t="s">
        <v>270</v>
      </c>
      <c r="F22" s="47" t="s">
        <v>271</v>
      </c>
      <c r="G22" s="47"/>
      <c r="H22" s="47"/>
    </row>
    <row r="23" customFormat="false" ht="15" hidden="false" customHeight="true" outlineLevel="0" collapsed="false">
      <c r="A23" s="43" t="s">
        <v>69</v>
      </c>
      <c r="B23" s="42" t="s">
        <v>195</v>
      </c>
      <c r="C23" s="43" t="s">
        <v>268</v>
      </c>
      <c r="D23" s="42" t="s">
        <v>269</v>
      </c>
      <c r="E23" s="43" t="s">
        <v>272</v>
      </c>
      <c r="F23" s="43" t="s">
        <v>273</v>
      </c>
      <c r="G23" s="43"/>
      <c r="H23" s="43"/>
    </row>
    <row r="24" customFormat="false" ht="15" hidden="false" customHeight="true" outlineLevel="0" collapsed="false">
      <c r="A24" s="47" t="s">
        <v>69</v>
      </c>
      <c r="B24" s="48" t="s">
        <v>195</v>
      </c>
      <c r="C24" s="47" t="s">
        <v>274</v>
      </c>
      <c r="D24" s="47" t="s">
        <v>275</v>
      </c>
      <c r="E24" s="47" t="s">
        <v>276</v>
      </c>
      <c r="F24" s="47" t="s">
        <v>273</v>
      </c>
      <c r="G24" s="47"/>
      <c r="H24" s="47"/>
    </row>
    <row r="25" customFormat="false" ht="15" hidden="false" customHeight="true" outlineLevel="0" collapsed="false">
      <c r="A25" s="43" t="s">
        <v>69</v>
      </c>
      <c r="B25" s="42" t="s">
        <v>195</v>
      </c>
      <c r="C25" s="43" t="s">
        <v>274</v>
      </c>
      <c r="D25" s="43" t="s">
        <v>275</v>
      </c>
      <c r="E25" s="42" t="s">
        <v>277</v>
      </c>
      <c r="F25" s="43" t="s">
        <v>273</v>
      </c>
      <c r="G25" s="43"/>
      <c r="H25" s="43"/>
    </row>
    <row r="26" customFormat="false" ht="15" hidden="false" customHeight="true" outlineLevel="0" collapsed="false">
      <c r="A26" s="47" t="s">
        <v>69</v>
      </c>
      <c r="B26" s="48" t="s">
        <v>195</v>
      </c>
      <c r="C26" s="47" t="s">
        <v>278</v>
      </c>
      <c r="D26" s="48" t="s">
        <v>279</v>
      </c>
      <c r="E26" s="48" t="s">
        <v>280</v>
      </c>
      <c r="F26" s="48" t="s">
        <v>281</v>
      </c>
      <c r="G26" s="47"/>
      <c r="H26" s="47"/>
    </row>
    <row r="27" customFormat="false" ht="15" hidden="false" customHeight="true" outlineLevel="0" collapsed="false">
      <c r="A27" s="43" t="s">
        <v>69</v>
      </c>
      <c r="B27" s="42" t="s">
        <v>195</v>
      </c>
      <c r="C27" s="43" t="s">
        <v>278</v>
      </c>
      <c r="D27" s="43" t="s">
        <v>12</v>
      </c>
      <c r="E27" s="42" t="s">
        <v>282</v>
      </c>
      <c r="F27" s="43" t="s">
        <v>271</v>
      </c>
      <c r="G27" s="43"/>
      <c r="H27" s="43"/>
    </row>
    <row r="28" customFormat="false" ht="27.75" hidden="false" customHeight="true" outlineLevel="0" collapsed="false">
      <c r="A28" s="47" t="s">
        <v>69</v>
      </c>
      <c r="B28" s="48" t="s">
        <v>195</v>
      </c>
      <c r="C28" s="47" t="s">
        <v>283</v>
      </c>
      <c r="D28" s="47" t="s">
        <v>275</v>
      </c>
      <c r="E28" s="48" t="s">
        <v>284</v>
      </c>
      <c r="F28" s="48" t="s">
        <v>285</v>
      </c>
      <c r="G28" s="47"/>
      <c r="H28" s="47"/>
    </row>
    <row r="29" customFormat="false" ht="15" hidden="false" customHeight="true" outlineLevel="0" collapsed="false">
      <c r="A29" s="43" t="s">
        <v>69</v>
      </c>
      <c r="B29" s="42" t="s">
        <v>195</v>
      </c>
      <c r="C29" s="43" t="s">
        <v>283</v>
      </c>
      <c r="D29" s="43" t="s">
        <v>275</v>
      </c>
      <c r="E29" s="42" t="s">
        <v>286</v>
      </c>
      <c r="F29" s="43" t="s">
        <v>273</v>
      </c>
      <c r="G29" s="43"/>
      <c r="H29" s="43"/>
    </row>
    <row r="30" customFormat="false" ht="15" hidden="false" customHeight="true" outlineLevel="0" collapsed="false">
      <c r="A30" s="47" t="s">
        <v>69</v>
      </c>
      <c r="B30" s="48" t="s">
        <v>195</v>
      </c>
      <c r="C30" s="47" t="s">
        <v>287</v>
      </c>
      <c r="D30" s="47" t="s">
        <v>275</v>
      </c>
      <c r="E30" s="48" t="s">
        <v>288</v>
      </c>
      <c r="F30" s="47" t="s">
        <v>273</v>
      </c>
      <c r="G30" s="47"/>
      <c r="H30" s="47"/>
    </row>
    <row r="31" customFormat="false" ht="15" hidden="false" customHeight="true" outlineLevel="0" collapsed="false">
      <c r="A31" s="43" t="s">
        <v>69</v>
      </c>
      <c r="B31" s="42" t="s">
        <v>195</v>
      </c>
      <c r="C31" s="43" t="s">
        <v>287</v>
      </c>
      <c r="D31" s="43" t="s">
        <v>275</v>
      </c>
      <c r="E31" s="42" t="s">
        <v>289</v>
      </c>
      <c r="F31" s="43" t="s">
        <v>273</v>
      </c>
      <c r="G31" s="43"/>
      <c r="H31" s="43"/>
    </row>
    <row r="32" customFormat="false" ht="15" hidden="false" customHeight="true" outlineLevel="0" collapsed="false">
      <c r="A32" s="49" t="s">
        <v>70</v>
      </c>
      <c r="B32" s="50" t="s">
        <v>196</v>
      </c>
      <c r="C32" s="49" t="s">
        <v>268</v>
      </c>
      <c r="D32" s="50" t="s">
        <v>269</v>
      </c>
      <c r="E32" s="49" t="s">
        <v>270</v>
      </c>
      <c r="F32" s="49" t="s">
        <v>271</v>
      </c>
      <c r="G32" s="49"/>
      <c r="H32" s="49"/>
    </row>
    <row r="33" customFormat="false" ht="15" hidden="false" customHeight="true" outlineLevel="0" collapsed="false">
      <c r="A33" s="49" t="s">
        <v>70</v>
      </c>
      <c r="B33" s="50" t="s">
        <v>196</v>
      </c>
      <c r="C33" s="49" t="s">
        <v>268</v>
      </c>
      <c r="D33" s="50" t="s">
        <v>269</v>
      </c>
      <c r="E33" s="49" t="s">
        <v>272</v>
      </c>
      <c r="F33" s="49" t="s">
        <v>273</v>
      </c>
      <c r="G33" s="49"/>
      <c r="H33" s="49"/>
    </row>
    <row r="34" customFormat="false" ht="15" hidden="false" customHeight="true" outlineLevel="0" collapsed="false">
      <c r="A34" s="49" t="s">
        <v>70</v>
      </c>
      <c r="B34" s="50" t="s">
        <v>196</v>
      </c>
      <c r="C34" s="49" t="s">
        <v>274</v>
      </c>
      <c r="D34" s="49" t="s">
        <v>275</v>
      </c>
      <c r="E34" s="49" t="s">
        <v>276</v>
      </c>
      <c r="F34" s="49" t="s">
        <v>273</v>
      </c>
      <c r="G34" s="49"/>
      <c r="H34" s="49"/>
    </row>
    <row r="35" customFormat="false" ht="15" hidden="false" customHeight="true" outlineLevel="0" collapsed="false">
      <c r="A35" s="49" t="s">
        <v>70</v>
      </c>
      <c r="B35" s="50" t="s">
        <v>196</v>
      </c>
      <c r="C35" s="49" t="s">
        <v>274</v>
      </c>
      <c r="D35" s="49" t="s">
        <v>275</v>
      </c>
      <c r="E35" s="50" t="s">
        <v>277</v>
      </c>
      <c r="F35" s="49" t="s">
        <v>273</v>
      </c>
      <c r="G35" s="49"/>
      <c r="H35" s="49"/>
    </row>
    <row r="36" customFormat="false" ht="15" hidden="false" customHeight="true" outlineLevel="0" collapsed="false">
      <c r="A36" s="49" t="s">
        <v>70</v>
      </c>
      <c r="B36" s="50" t="s">
        <v>196</v>
      </c>
      <c r="C36" s="49" t="s">
        <v>278</v>
      </c>
      <c r="D36" s="50" t="s">
        <v>279</v>
      </c>
      <c r="E36" s="50" t="s">
        <v>280</v>
      </c>
      <c r="F36" s="50" t="s">
        <v>281</v>
      </c>
      <c r="G36" s="49"/>
      <c r="H36" s="49"/>
    </row>
    <row r="37" customFormat="false" ht="15" hidden="false" customHeight="true" outlineLevel="0" collapsed="false">
      <c r="A37" s="49" t="s">
        <v>70</v>
      </c>
      <c r="B37" s="50" t="s">
        <v>196</v>
      </c>
      <c r="C37" s="49" t="s">
        <v>278</v>
      </c>
      <c r="D37" s="49" t="s">
        <v>12</v>
      </c>
      <c r="E37" s="50" t="s">
        <v>282</v>
      </c>
      <c r="F37" s="49" t="s">
        <v>271</v>
      </c>
      <c r="G37" s="49"/>
      <c r="H37" s="49"/>
    </row>
    <row r="38" customFormat="false" ht="27.75" hidden="false" customHeight="true" outlineLevel="0" collapsed="false">
      <c r="A38" s="49" t="s">
        <v>70</v>
      </c>
      <c r="B38" s="50" t="s">
        <v>196</v>
      </c>
      <c r="C38" s="49" t="s">
        <v>283</v>
      </c>
      <c r="D38" s="49" t="s">
        <v>275</v>
      </c>
      <c r="E38" s="50" t="s">
        <v>284</v>
      </c>
      <c r="F38" s="50" t="s">
        <v>285</v>
      </c>
      <c r="G38" s="49"/>
      <c r="H38" s="49"/>
    </row>
    <row r="39" customFormat="false" ht="15" hidden="false" customHeight="true" outlineLevel="0" collapsed="false">
      <c r="A39" s="49" t="s">
        <v>70</v>
      </c>
      <c r="B39" s="50" t="s">
        <v>196</v>
      </c>
      <c r="C39" s="49" t="s">
        <v>283</v>
      </c>
      <c r="D39" s="49" t="s">
        <v>275</v>
      </c>
      <c r="E39" s="50" t="s">
        <v>286</v>
      </c>
      <c r="F39" s="49" t="s">
        <v>273</v>
      </c>
      <c r="G39" s="49"/>
      <c r="H39" s="49"/>
    </row>
    <row r="40" customFormat="false" ht="15" hidden="false" customHeight="true" outlineLevel="0" collapsed="false">
      <c r="A40" s="49" t="s">
        <v>70</v>
      </c>
      <c r="B40" s="50" t="s">
        <v>196</v>
      </c>
      <c r="C40" s="49" t="s">
        <v>287</v>
      </c>
      <c r="D40" s="49" t="s">
        <v>275</v>
      </c>
      <c r="E40" s="50" t="s">
        <v>288</v>
      </c>
      <c r="F40" s="49" t="s">
        <v>273</v>
      </c>
      <c r="G40" s="49"/>
      <c r="H40" s="49"/>
    </row>
    <row r="41" customFormat="false" ht="15" hidden="false" customHeight="true" outlineLevel="0" collapsed="false">
      <c r="A41" s="49" t="s">
        <v>70</v>
      </c>
      <c r="B41" s="50" t="s">
        <v>196</v>
      </c>
      <c r="C41" s="49" t="s">
        <v>287</v>
      </c>
      <c r="D41" s="49" t="s">
        <v>275</v>
      </c>
      <c r="E41" s="50" t="s">
        <v>289</v>
      </c>
      <c r="F41" s="49" t="s">
        <v>273</v>
      </c>
      <c r="G41" s="49"/>
      <c r="H41" s="49"/>
    </row>
    <row r="42" customFormat="false" ht="15" hidden="false" customHeight="true" outlineLevel="0" collapsed="false">
      <c r="A42" s="49" t="s">
        <v>71</v>
      </c>
      <c r="B42" s="50" t="s">
        <v>197</v>
      </c>
      <c r="C42" s="49" t="s">
        <v>268</v>
      </c>
      <c r="D42" s="50" t="s">
        <v>269</v>
      </c>
      <c r="E42" s="49" t="s">
        <v>270</v>
      </c>
      <c r="F42" s="49" t="s">
        <v>271</v>
      </c>
      <c r="G42" s="49"/>
      <c r="H42" s="49"/>
    </row>
    <row r="43" customFormat="false" ht="15" hidden="false" customHeight="true" outlineLevel="0" collapsed="false">
      <c r="A43" s="49" t="s">
        <v>71</v>
      </c>
      <c r="B43" s="50" t="s">
        <v>197</v>
      </c>
      <c r="C43" s="49" t="s">
        <v>268</v>
      </c>
      <c r="D43" s="50" t="s">
        <v>269</v>
      </c>
      <c r="E43" s="49" t="s">
        <v>272</v>
      </c>
      <c r="F43" s="49" t="s">
        <v>273</v>
      </c>
      <c r="G43" s="49"/>
      <c r="H43" s="49"/>
    </row>
    <row r="44" customFormat="false" ht="15" hidden="false" customHeight="true" outlineLevel="0" collapsed="false">
      <c r="A44" s="49" t="s">
        <v>71</v>
      </c>
      <c r="B44" s="50" t="s">
        <v>197</v>
      </c>
      <c r="C44" s="49" t="s">
        <v>274</v>
      </c>
      <c r="D44" s="49" t="s">
        <v>275</v>
      </c>
      <c r="E44" s="49" t="s">
        <v>276</v>
      </c>
      <c r="F44" s="49" t="s">
        <v>273</v>
      </c>
      <c r="G44" s="49"/>
      <c r="H44" s="49"/>
    </row>
    <row r="45" customFormat="false" ht="15" hidden="false" customHeight="true" outlineLevel="0" collapsed="false">
      <c r="A45" s="49" t="s">
        <v>71</v>
      </c>
      <c r="B45" s="50" t="s">
        <v>197</v>
      </c>
      <c r="C45" s="49" t="s">
        <v>274</v>
      </c>
      <c r="D45" s="49" t="s">
        <v>275</v>
      </c>
      <c r="E45" s="50" t="s">
        <v>277</v>
      </c>
      <c r="F45" s="49" t="s">
        <v>273</v>
      </c>
      <c r="G45" s="49"/>
      <c r="H45" s="49"/>
    </row>
    <row r="46" customFormat="false" ht="15" hidden="false" customHeight="true" outlineLevel="0" collapsed="false">
      <c r="A46" s="49" t="s">
        <v>71</v>
      </c>
      <c r="B46" s="50" t="s">
        <v>197</v>
      </c>
      <c r="C46" s="49" t="s">
        <v>278</v>
      </c>
      <c r="D46" s="50" t="s">
        <v>279</v>
      </c>
      <c r="E46" s="50" t="s">
        <v>280</v>
      </c>
      <c r="F46" s="50" t="s">
        <v>281</v>
      </c>
      <c r="G46" s="49"/>
      <c r="H46" s="49"/>
    </row>
    <row r="47" customFormat="false" ht="15" hidden="false" customHeight="true" outlineLevel="0" collapsed="false">
      <c r="A47" s="49" t="s">
        <v>71</v>
      </c>
      <c r="B47" s="50" t="s">
        <v>197</v>
      </c>
      <c r="C47" s="49" t="s">
        <v>278</v>
      </c>
      <c r="D47" s="49" t="s">
        <v>12</v>
      </c>
      <c r="E47" s="50" t="s">
        <v>282</v>
      </c>
      <c r="F47" s="49" t="s">
        <v>271</v>
      </c>
      <c r="G47" s="49"/>
      <c r="H47" s="49"/>
    </row>
    <row r="48" customFormat="false" ht="27.75" hidden="false" customHeight="true" outlineLevel="0" collapsed="false">
      <c r="A48" s="49" t="s">
        <v>71</v>
      </c>
      <c r="B48" s="50" t="s">
        <v>197</v>
      </c>
      <c r="C48" s="49" t="s">
        <v>283</v>
      </c>
      <c r="D48" s="49" t="s">
        <v>275</v>
      </c>
      <c r="E48" s="50" t="s">
        <v>284</v>
      </c>
      <c r="F48" s="50" t="s">
        <v>285</v>
      </c>
      <c r="G48" s="49"/>
      <c r="H48" s="49"/>
    </row>
    <row r="49" customFormat="false" ht="15" hidden="false" customHeight="true" outlineLevel="0" collapsed="false">
      <c r="A49" s="49" t="s">
        <v>71</v>
      </c>
      <c r="B49" s="50" t="s">
        <v>197</v>
      </c>
      <c r="C49" s="49" t="s">
        <v>283</v>
      </c>
      <c r="D49" s="49" t="s">
        <v>275</v>
      </c>
      <c r="E49" s="50" t="s">
        <v>286</v>
      </c>
      <c r="F49" s="49" t="s">
        <v>273</v>
      </c>
      <c r="G49" s="49"/>
      <c r="H49" s="49"/>
    </row>
    <row r="50" customFormat="false" ht="15" hidden="false" customHeight="true" outlineLevel="0" collapsed="false">
      <c r="A50" s="49" t="s">
        <v>71</v>
      </c>
      <c r="B50" s="50" t="s">
        <v>197</v>
      </c>
      <c r="C50" s="49" t="s">
        <v>287</v>
      </c>
      <c r="D50" s="49" t="s">
        <v>275</v>
      </c>
      <c r="E50" s="50" t="s">
        <v>288</v>
      </c>
      <c r="F50" s="49" t="s">
        <v>273</v>
      </c>
      <c r="G50" s="49"/>
      <c r="H50" s="49"/>
    </row>
    <row r="51" customFormat="false" ht="15" hidden="false" customHeight="true" outlineLevel="0" collapsed="false">
      <c r="A51" s="49" t="s">
        <v>71</v>
      </c>
      <c r="B51" s="50" t="s">
        <v>197</v>
      </c>
      <c r="C51" s="49" t="s">
        <v>287</v>
      </c>
      <c r="D51" s="49" t="s">
        <v>275</v>
      </c>
      <c r="E51" s="50" t="s">
        <v>289</v>
      </c>
      <c r="F51" s="49" t="s">
        <v>273</v>
      </c>
      <c r="G51" s="49"/>
      <c r="H51" s="49"/>
    </row>
    <row r="52" customFormat="false" ht="15" hidden="false" customHeight="true" outlineLevel="0" collapsed="false">
      <c r="A52" s="47" t="s">
        <v>72</v>
      </c>
      <c r="B52" s="48" t="s">
        <v>198</v>
      </c>
      <c r="C52" s="47" t="s">
        <v>268</v>
      </c>
      <c r="D52" s="48" t="s">
        <v>269</v>
      </c>
      <c r="E52" s="47" t="s">
        <v>270</v>
      </c>
      <c r="F52" s="47" t="s">
        <v>271</v>
      </c>
      <c r="G52" s="47"/>
      <c r="H52" s="47"/>
    </row>
    <row r="53" customFormat="false" ht="15" hidden="false" customHeight="true" outlineLevel="0" collapsed="false">
      <c r="A53" s="43" t="s">
        <v>72</v>
      </c>
      <c r="B53" s="42" t="s">
        <v>198</v>
      </c>
      <c r="C53" s="43" t="s">
        <v>268</v>
      </c>
      <c r="D53" s="42" t="s">
        <v>269</v>
      </c>
      <c r="E53" s="43" t="s">
        <v>272</v>
      </c>
      <c r="F53" s="43" t="s">
        <v>273</v>
      </c>
      <c r="G53" s="43"/>
      <c r="H53" s="43"/>
    </row>
    <row r="54" customFormat="false" ht="15" hidden="false" customHeight="true" outlineLevel="0" collapsed="false">
      <c r="A54" s="47" t="s">
        <v>72</v>
      </c>
      <c r="B54" s="48" t="s">
        <v>198</v>
      </c>
      <c r="C54" s="47" t="s">
        <v>274</v>
      </c>
      <c r="D54" s="47" t="s">
        <v>275</v>
      </c>
      <c r="E54" s="47" t="s">
        <v>276</v>
      </c>
      <c r="F54" s="47" t="s">
        <v>273</v>
      </c>
      <c r="G54" s="47"/>
      <c r="H54" s="47"/>
    </row>
    <row r="55" customFormat="false" ht="15" hidden="false" customHeight="true" outlineLevel="0" collapsed="false">
      <c r="A55" s="43" t="s">
        <v>72</v>
      </c>
      <c r="B55" s="42" t="s">
        <v>198</v>
      </c>
      <c r="C55" s="43" t="s">
        <v>274</v>
      </c>
      <c r="D55" s="43" t="s">
        <v>275</v>
      </c>
      <c r="E55" s="42" t="s">
        <v>277</v>
      </c>
      <c r="F55" s="43" t="s">
        <v>273</v>
      </c>
      <c r="G55" s="43"/>
      <c r="H55" s="43"/>
    </row>
    <row r="56" customFormat="false" ht="15" hidden="false" customHeight="true" outlineLevel="0" collapsed="false">
      <c r="A56" s="47" t="s">
        <v>72</v>
      </c>
      <c r="B56" s="48" t="s">
        <v>198</v>
      </c>
      <c r="C56" s="47" t="s">
        <v>278</v>
      </c>
      <c r="D56" s="48" t="s">
        <v>279</v>
      </c>
      <c r="E56" s="48" t="s">
        <v>280</v>
      </c>
      <c r="F56" s="48" t="s">
        <v>281</v>
      </c>
      <c r="G56" s="47"/>
      <c r="H56" s="47"/>
    </row>
    <row r="57" customFormat="false" ht="15" hidden="false" customHeight="true" outlineLevel="0" collapsed="false">
      <c r="A57" s="43" t="s">
        <v>72</v>
      </c>
      <c r="B57" s="42" t="s">
        <v>198</v>
      </c>
      <c r="C57" s="43" t="s">
        <v>278</v>
      </c>
      <c r="D57" s="43" t="s">
        <v>12</v>
      </c>
      <c r="E57" s="42" t="s">
        <v>282</v>
      </c>
      <c r="F57" s="43" t="s">
        <v>271</v>
      </c>
      <c r="G57" s="43"/>
      <c r="H57" s="43"/>
    </row>
    <row r="58" customFormat="false" ht="27.75" hidden="false" customHeight="true" outlineLevel="0" collapsed="false">
      <c r="A58" s="47" t="s">
        <v>72</v>
      </c>
      <c r="B58" s="48" t="s">
        <v>198</v>
      </c>
      <c r="C58" s="47" t="s">
        <v>283</v>
      </c>
      <c r="D58" s="47" t="s">
        <v>275</v>
      </c>
      <c r="E58" s="48" t="s">
        <v>284</v>
      </c>
      <c r="F58" s="48" t="s">
        <v>285</v>
      </c>
      <c r="G58" s="47"/>
      <c r="H58" s="47"/>
    </row>
    <row r="59" customFormat="false" ht="15" hidden="false" customHeight="true" outlineLevel="0" collapsed="false">
      <c r="A59" s="43" t="s">
        <v>72</v>
      </c>
      <c r="B59" s="42" t="s">
        <v>198</v>
      </c>
      <c r="C59" s="43" t="s">
        <v>283</v>
      </c>
      <c r="D59" s="43" t="s">
        <v>275</v>
      </c>
      <c r="E59" s="42" t="s">
        <v>286</v>
      </c>
      <c r="F59" s="43" t="s">
        <v>273</v>
      </c>
      <c r="G59" s="43"/>
      <c r="H59" s="43"/>
    </row>
    <row r="60" customFormat="false" ht="15" hidden="false" customHeight="true" outlineLevel="0" collapsed="false">
      <c r="A60" s="47" t="s">
        <v>72</v>
      </c>
      <c r="B60" s="48" t="s">
        <v>198</v>
      </c>
      <c r="C60" s="47" t="s">
        <v>287</v>
      </c>
      <c r="D60" s="47" t="s">
        <v>275</v>
      </c>
      <c r="E60" s="48" t="s">
        <v>288</v>
      </c>
      <c r="F60" s="47" t="s">
        <v>273</v>
      </c>
      <c r="G60" s="47"/>
      <c r="H60" s="47"/>
    </row>
    <row r="61" customFormat="false" ht="15" hidden="false" customHeight="true" outlineLevel="0" collapsed="false">
      <c r="A61" s="43" t="s">
        <v>72</v>
      </c>
      <c r="B61" s="42" t="s">
        <v>198</v>
      </c>
      <c r="C61" s="43" t="s">
        <v>287</v>
      </c>
      <c r="D61" s="43" t="s">
        <v>275</v>
      </c>
      <c r="E61" s="42" t="s">
        <v>289</v>
      </c>
      <c r="F61" s="43" t="s">
        <v>273</v>
      </c>
      <c r="G61" s="43"/>
      <c r="H61" s="43"/>
    </row>
    <row r="62" customFormat="false" ht="15" hidden="false" customHeight="true" outlineLevel="0" collapsed="false">
      <c r="A62" s="47" t="s">
        <v>73</v>
      </c>
      <c r="B62" s="48" t="s">
        <v>199</v>
      </c>
      <c r="C62" s="47" t="s">
        <v>268</v>
      </c>
      <c r="D62" s="48" t="s">
        <v>269</v>
      </c>
      <c r="E62" s="47" t="s">
        <v>270</v>
      </c>
      <c r="F62" s="47" t="s">
        <v>271</v>
      </c>
      <c r="G62" s="47"/>
      <c r="H62" s="47"/>
    </row>
    <row r="63" customFormat="false" ht="15" hidden="false" customHeight="true" outlineLevel="0" collapsed="false">
      <c r="A63" s="43" t="s">
        <v>73</v>
      </c>
      <c r="B63" s="42" t="s">
        <v>199</v>
      </c>
      <c r="C63" s="43" t="s">
        <v>268</v>
      </c>
      <c r="D63" s="42" t="s">
        <v>269</v>
      </c>
      <c r="E63" s="43" t="s">
        <v>272</v>
      </c>
      <c r="F63" s="43" t="s">
        <v>273</v>
      </c>
      <c r="G63" s="43"/>
      <c r="H63" s="43"/>
    </row>
    <row r="64" customFormat="false" ht="15" hidden="false" customHeight="true" outlineLevel="0" collapsed="false">
      <c r="A64" s="47" t="s">
        <v>73</v>
      </c>
      <c r="B64" s="48" t="s">
        <v>199</v>
      </c>
      <c r="C64" s="47" t="s">
        <v>274</v>
      </c>
      <c r="D64" s="47" t="s">
        <v>275</v>
      </c>
      <c r="E64" s="47" t="s">
        <v>276</v>
      </c>
      <c r="F64" s="47" t="s">
        <v>273</v>
      </c>
      <c r="G64" s="47"/>
      <c r="H64" s="47"/>
    </row>
    <row r="65" customFormat="false" ht="15" hidden="false" customHeight="true" outlineLevel="0" collapsed="false">
      <c r="A65" s="43" t="s">
        <v>73</v>
      </c>
      <c r="B65" s="42" t="s">
        <v>199</v>
      </c>
      <c r="C65" s="43" t="s">
        <v>274</v>
      </c>
      <c r="D65" s="43" t="s">
        <v>275</v>
      </c>
      <c r="E65" s="42" t="s">
        <v>277</v>
      </c>
      <c r="F65" s="43" t="s">
        <v>273</v>
      </c>
      <c r="G65" s="43"/>
      <c r="H65" s="43"/>
    </row>
    <row r="66" customFormat="false" ht="15" hidden="false" customHeight="true" outlineLevel="0" collapsed="false">
      <c r="A66" s="47" t="s">
        <v>73</v>
      </c>
      <c r="B66" s="48" t="s">
        <v>199</v>
      </c>
      <c r="C66" s="47" t="s">
        <v>278</v>
      </c>
      <c r="D66" s="48" t="s">
        <v>279</v>
      </c>
      <c r="E66" s="48" t="s">
        <v>280</v>
      </c>
      <c r="F66" s="48" t="s">
        <v>281</v>
      </c>
      <c r="G66" s="47"/>
      <c r="H66" s="47"/>
    </row>
    <row r="67" customFormat="false" ht="15" hidden="false" customHeight="true" outlineLevel="0" collapsed="false">
      <c r="A67" s="43" t="s">
        <v>73</v>
      </c>
      <c r="B67" s="42" t="s">
        <v>199</v>
      </c>
      <c r="C67" s="43" t="s">
        <v>278</v>
      </c>
      <c r="D67" s="43" t="s">
        <v>12</v>
      </c>
      <c r="E67" s="42" t="s">
        <v>282</v>
      </c>
      <c r="F67" s="43" t="s">
        <v>271</v>
      </c>
      <c r="G67" s="43"/>
      <c r="H67" s="43"/>
    </row>
    <row r="68" customFormat="false" ht="27.75" hidden="false" customHeight="true" outlineLevel="0" collapsed="false">
      <c r="A68" s="47" t="s">
        <v>73</v>
      </c>
      <c r="B68" s="48" t="s">
        <v>199</v>
      </c>
      <c r="C68" s="47" t="s">
        <v>283</v>
      </c>
      <c r="D68" s="47" t="s">
        <v>275</v>
      </c>
      <c r="E68" s="48" t="s">
        <v>284</v>
      </c>
      <c r="F68" s="48" t="s">
        <v>285</v>
      </c>
      <c r="G68" s="47"/>
      <c r="H68" s="47"/>
    </row>
    <row r="69" customFormat="false" ht="15" hidden="false" customHeight="true" outlineLevel="0" collapsed="false">
      <c r="A69" s="43" t="s">
        <v>73</v>
      </c>
      <c r="B69" s="42" t="s">
        <v>199</v>
      </c>
      <c r="C69" s="43" t="s">
        <v>283</v>
      </c>
      <c r="D69" s="43" t="s">
        <v>275</v>
      </c>
      <c r="E69" s="42" t="s">
        <v>286</v>
      </c>
      <c r="F69" s="43" t="s">
        <v>273</v>
      </c>
      <c r="G69" s="43"/>
      <c r="H69" s="43"/>
    </row>
    <row r="70" customFormat="false" ht="15" hidden="false" customHeight="true" outlineLevel="0" collapsed="false">
      <c r="A70" s="47" t="s">
        <v>73</v>
      </c>
      <c r="B70" s="48" t="s">
        <v>199</v>
      </c>
      <c r="C70" s="47" t="s">
        <v>287</v>
      </c>
      <c r="D70" s="47" t="s">
        <v>275</v>
      </c>
      <c r="E70" s="48" t="s">
        <v>288</v>
      </c>
      <c r="F70" s="47" t="s">
        <v>273</v>
      </c>
      <c r="G70" s="47"/>
      <c r="H70" s="47"/>
    </row>
    <row r="71" customFormat="false" ht="15" hidden="false" customHeight="true" outlineLevel="0" collapsed="false">
      <c r="A71" s="43" t="s">
        <v>73</v>
      </c>
      <c r="B71" s="42" t="s">
        <v>199</v>
      </c>
      <c r="C71" s="43" t="s">
        <v>287</v>
      </c>
      <c r="D71" s="43" t="s">
        <v>275</v>
      </c>
      <c r="E71" s="42" t="s">
        <v>289</v>
      </c>
      <c r="F71" s="43" t="s">
        <v>273</v>
      </c>
      <c r="G71" s="43"/>
      <c r="H71" s="43"/>
    </row>
    <row r="72" customFormat="false" ht="15" hidden="false" customHeight="true" outlineLevel="0" collapsed="false">
      <c r="A72" s="47" t="s">
        <v>74</v>
      </c>
      <c r="B72" s="48" t="s">
        <v>193</v>
      </c>
      <c r="C72" s="47" t="s">
        <v>268</v>
      </c>
      <c r="D72" s="48" t="s">
        <v>269</v>
      </c>
      <c r="E72" s="47" t="s">
        <v>270</v>
      </c>
      <c r="F72" s="47" t="s">
        <v>271</v>
      </c>
      <c r="G72" s="47"/>
      <c r="H72" s="47"/>
    </row>
    <row r="73" customFormat="false" ht="15" hidden="false" customHeight="true" outlineLevel="0" collapsed="false">
      <c r="A73" s="43" t="s">
        <v>74</v>
      </c>
      <c r="B73" s="42" t="s">
        <v>193</v>
      </c>
      <c r="C73" s="43" t="s">
        <v>268</v>
      </c>
      <c r="D73" s="42" t="s">
        <v>269</v>
      </c>
      <c r="E73" s="43" t="s">
        <v>272</v>
      </c>
      <c r="F73" s="43" t="s">
        <v>273</v>
      </c>
      <c r="G73" s="43"/>
      <c r="H73" s="43"/>
    </row>
    <row r="74" customFormat="false" ht="15" hidden="false" customHeight="true" outlineLevel="0" collapsed="false">
      <c r="A74" s="47" t="s">
        <v>74</v>
      </c>
      <c r="B74" s="48" t="s">
        <v>193</v>
      </c>
      <c r="C74" s="47" t="s">
        <v>274</v>
      </c>
      <c r="D74" s="47" t="s">
        <v>275</v>
      </c>
      <c r="E74" s="47" t="s">
        <v>276</v>
      </c>
      <c r="F74" s="47" t="s">
        <v>273</v>
      </c>
      <c r="G74" s="47"/>
      <c r="H74" s="47"/>
    </row>
    <row r="75" customFormat="false" ht="15" hidden="false" customHeight="true" outlineLevel="0" collapsed="false">
      <c r="A75" s="43" t="s">
        <v>74</v>
      </c>
      <c r="B75" s="42" t="s">
        <v>193</v>
      </c>
      <c r="C75" s="43" t="s">
        <v>274</v>
      </c>
      <c r="D75" s="43" t="s">
        <v>275</v>
      </c>
      <c r="E75" s="42" t="s">
        <v>277</v>
      </c>
      <c r="F75" s="43" t="s">
        <v>273</v>
      </c>
      <c r="G75" s="43"/>
      <c r="H75" s="43"/>
    </row>
    <row r="76" customFormat="false" ht="15" hidden="false" customHeight="true" outlineLevel="0" collapsed="false">
      <c r="A76" s="47" t="s">
        <v>74</v>
      </c>
      <c r="B76" s="48" t="s">
        <v>193</v>
      </c>
      <c r="C76" s="47" t="s">
        <v>278</v>
      </c>
      <c r="D76" s="48" t="s">
        <v>279</v>
      </c>
      <c r="E76" s="48" t="s">
        <v>280</v>
      </c>
      <c r="F76" s="48" t="s">
        <v>281</v>
      </c>
      <c r="G76" s="47"/>
      <c r="H76" s="47"/>
    </row>
    <row r="77" customFormat="false" ht="15" hidden="false" customHeight="true" outlineLevel="0" collapsed="false">
      <c r="A77" s="43" t="s">
        <v>74</v>
      </c>
      <c r="B77" s="42" t="s">
        <v>193</v>
      </c>
      <c r="C77" s="43" t="s">
        <v>278</v>
      </c>
      <c r="D77" s="43" t="s">
        <v>12</v>
      </c>
      <c r="E77" s="42" t="s">
        <v>282</v>
      </c>
      <c r="F77" s="43" t="s">
        <v>271</v>
      </c>
      <c r="G77" s="43"/>
      <c r="H77" s="43"/>
    </row>
    <row r="78" customFormat="false" ht="27.75" hidden="false" customHeight="true" outlineLevel="0" collapsed="false">
      <c r="A78" s="47" t="s">
        <v>74</v>
      </c>
      <c r="B78" s="48" t="s">
        <v>193</v>
      </c>
      <c r="C78" s="47" t="s">
        <v>283</v>
      </c>
      <c r="D78" s="47" t="s">
        <v>275</v>
      </c>
      <c r="E78" s="48" t="s">
        <v>284</v>
      </c>
      <c r="F78" s="48" t="s">
        <v>285</v>
      </c>
      <c r="G78" s="47"/>
      <c r="H78" s="47"/>
    </row>
    <row r="79" customFormat="false" ht="15" hidden="false" customHeight="true" outlineLevel="0" collapsed="false">
      <c r="A79" s="43" t="s">
        <v>74</v>
      </c>
      <c r="B79" s="42" t="s">
        <v>193</v>
      </c>
      <c r="C79" s="43" t="s">
        <v>283</v>
      </c>
      <c r="D79" s="43" t="s">
        <v>275</v>
      </c>
      <c r="E79" s="42" t="s">
        <v>286</v>
      </c>
      <c r="F79" s="43" t="s">
        <v>273</v>
      </c>
      <c r="G79" s="43"/>
      <c r="H79" s="43"/>
    </row>
    <row r="80" customFormat="false" ht="15" hidden="false" customHeight="true" outlineLevel="0" collapsed="false">
      <c r="A80" s="47" t="s">
        <v>74</v>
      </c>
      <c r="B80" s="48" t="s">
        <v>193</v>
      </c>
      <c r="C80" s="47" t="s">
        <v>287</v>
      </c>
      <c r="D80" s="47" t="s">
        <v>275</v>
      </c>
      <c r="E80" s="48" t="s">
        <v>288</v>
      </c>
      <c r="F80" s="47" t="s">
        <v>273</v>
      </c>
      <c r="G80" s="47"/>
      <c r="H80" s="47"/>
    </row>
    <row r="81" customFormat="false" ht="15" hidden="false" customHeight="true" outlineLevel="0" collapsed="false">
      <c r="A81" s="43" t="s">
        <v>74</v>
      </c>
      <c r="B81" s="42" t="s">
        <v>193</v>
      </c>
      <c r="C81" s="43" t="s">
        <v>287</v>
      </c>
      <c r="D81" s="43" t="s">
        <v>275</v>
      </c>
      <c r="E81" s="42" t="s">
        <v>289</v>
      </c>
      <c r="F81" s="43" t="s">
        <v>273</v>
      </c>
      <c r="G81" s="43"/>
      <c r="H81" s="43"/>
    </row>
    <row r="82" customFormat="false" ht="15" hidden="false" customHeight="true" outlineLevel="0" collapsed="false">
      <c r="A82" s="47" t="s">
        <v>75</v>
      </c>
      <c r="B82" s="48" t="s">
        <v>194</v>
      </c>
      <c r="C82" s="47" t="s">
        <v>268</v>
      </c>
      <c r="D82" s="48" t="s">
        <v>269</v>
      </c>
      <c r="E82" s="47" t="s">
        <v>270</v>
      </c>
      <c r="F82" s="47" t="s">
        <v>271</v>
      </c>
      <c r="G82" s="47"/>
      <c r="H82" s="47"/>
    </row>
    <row r="83" customFormat="false" ht="15" hidden="false" customHeight="true" outlineLevel="0" collapsed="false">
      <c r="A83" s="43" t="s">
        <v>75</v>
      </c>
      <c r="B83" s="42" t="s">
        <v>194</v>
      </c>
      <c r="C83" s="43" t="s">
        <v>268</v>
      </c>
      <c r="D83" s="42" t="s">
        <v>269</v>
      </c>
      <c r="E83" s="43" t="s">
        <v>272</v>
      </c>
      <c r="F83" s="43" t="s">
        <v>273</v>
      </c>
      <c r="G83" s="43"/>
      <c r="H83" s="43"/>
    </row>
    <row r="84" customFormat="false" ht="15" hidden="false" customHeight="true" outlineLevel="0" collapsed="false">
      <c r="A84" s="47" t="s">
        <v>75</v>
      </c>
      <c r="B84" s="48" t="s">
        <v>194</v>
      </c>
      <c r="C84" s="47" t="s">
        <v>274</v>
      </c>
      <c r="D84" s="47" t="s">
        <v>275</v>
      </c>
      <c r="E84" s="47" t="s">
        <v>276</v>
      </c>
      <c r="F84" s="47" t="s">
        <v>273</v>
      </c>
      <c r="G84" s="47"/>
      <c r="H84" s="47"/>
    </row>
    <row r="85" customFormat="false" ht="15" hidden="false" customHeight="true" outlineLevel="0" collapsed="false">
      <c r="A85" s="43" t="s">
        <v>75</v>
      </c>
      <c r="B85" s="42" t="s">
        <v>194</v>
      </c>
      <c r="C85" s="43" t="s">
        <v>274</v>
      </c>
      <c r="D85" s="43" t="s">
        <v>275</v>
      </c>
      <c r="E85" s="42" t="s">
        <v>277</v>
      </c>
      <c r="F85" s="43" t="s">
        <v>273</v>
      </c>
      <c r="G85" s="43"/>
      <c r="H85" s="43"/>
    </row>
    <row r="86" customFormat="false" ht="15" hidden="false" customHeight="true" outlineLevel="0" collapsed="false">
      <c r="A86" s="47" t="s">
        <v>75</v>
      </c>
      <c r="B86" s="48" t="s">
        <v>194</v>
      </c>
      <c r="C86" s="47" t="s">
        <v>278</v>
      </c>
      <c r="D86" s="48" t="s">
        <v>279</v>
      </c>
      <c r="E86" s="48" t="s">
        <v>280</v>
      </c>
      <c r="F86" s="48" t="s">
        <v>281</v>
      </c>
      <c r="G86" s="47"/>
      <c r="H86" s="47"/>
    </row>
    <row r="87" customFormat="false" ht="15" hidden="false" customHeight="true" outlineLevel="0" collapsed="false">
      <c r="A87" s="43" t="s">
        <v>75</v>
      </c>
      <c r="B87" s="42" t="s">
        <v>194</v>
      </c>
      <c r="C87" s="43" t="s">
        <v>278</v>
      </c>
      <c r="D87" s="43" t="s">
        <v>12</v>
      </c>
      <c r="E87" s="42" t="s">
        <v>282</v>
      </c>
      <c r="F87" s="43" t="s">
        <v>271</v>
      </c>
      <c r="G87" s="43"/>
      <c r="H87" s="43"/>
    </row>
    <row r="88" customFormat="false" ht="27.75" hidden="false" customHeight="true" outlineLevel="0" collapsed="false">
      <c r="A88" s="47" t="s">
        <v>75</v>
      </c>
      <c r="B88" s="48" t="s">
        <v>194</v>
      </c>
      <c r="C88" s="47" t="s">
        <v>283</v>
      </c>
      <c r="D88" s="47" t="s">
        <v>275</v>
      </c>
      <c r="E88" s="48" t="s">
        <v>284</v>
      </c>
      <c r="F88" s="48" t="s">
        <v>285</v>
      </c>
      <c r="G88" s="47"/>
      <c r="H88" s="47"/>
    </row>
    <row r="89" customFormat="false" ht="15" hidden="false" customHeight="true" outlineLevel="0" collapsed="false">
      <c r="A89" s="43" t="s">
        <v>75</v>
      </c>
      <c r="B89" s="42" t="s">
        <v>194</v>
      </c>
      <c r="C89" s="43" t="s">
        <v>283</v>
      </c>
      <c r="D89" s="43" t="s">
        <v>275</v>
      </c>
      <c r="E89" s="42" t="s">
        <v>286</v>
      </c>
      <c r="F89" s="43" t="s">
        <v>273</v>
      </c>
      <c r="G89" s="43"/>
      <c r="H89" s="43"/>
    </row>
    <row r="90" customFormat="false" ht="15" hidden="false" customHeight="true" outlineLevel="0" collapsed="false">
      <c r="A90" s="47" t="s">
        <v>75</v>
      </c>
      <c r="B90" s="48" t="s">
        <v>194</v>
      </c>
      <c r="C90" s="47" t="s">
        <v>287</v>
      </c>
      <c r="D90" s="47" t="s">
        <v>275</v>
      </c>
      <c r="E90" s="48" t="s">
        <v>288</v>
      </c>
      <c r="F90" s="47" t="s">
        <v>273</v>
      </c>
      <c r="G90" s="47"/>
      <c r="H90" s="47"/>
    </row>
    <row r="91" customFormat="false" ht="15" hidden="false" customHeight="true" outlineLevel="0" collapsed="false">
      <c r="A91" s="43" t="s">
        <v>75</v>
      </c>
      <c r="B91" s="42" t="s">
        <v>194</v>
      </c>
      <c r="C91" s="43" t="s">
        <v>287</v>
      </c>
      <c r="D91" s="43" t="s">
        <v>275</v>
      </c>
      <c r="E91" s="42" t="s">
        <v>289</v>
      </c>
      <c r="F91" s="43" t="s">
        <v>273</v>
      </c>
      <c r="G91" s="43"/>
      <c r="H91" s="43"/>
    </row>
    <row r="92" customFormat="false" ht="15" hidden="false" customHeight="true" outlineLevel="0" collapsed="false">
      <c r="A92" s="47" t="s">
        <v>76</v>
      </c>
      <c r="B92" s="48" t="s">
        <v>195</v>
      </c>
      <c r="C92" s="47" t="s">
        <v>268</v>
      </c>
      <c r="D92" s="48" t="s">
        <v>269</v>
      </c>
      <c r="E92" s="47" t="s">
        <v>270</v>
      </c>
      <c r="F92" s="47" t="s">
        <v>271</v>
      </c>
      <c r="G92" s="47"/>
      <c r="H92" s="47"/>
    </row>
    <row r="93" customFormat="false" ht="15" hidden="false" customHeight="true" outlineLevel="0" collapsed="false">
      <c r="A93" s="43" t="s">
        <v>76</v>
      </c>
      <c r="B93" s="42" t="s">
        <v>195</v>
      </c>
      <c r="C93" s="43" t="s">
        <v>268</v>
      </c>
      <c r="D93" s="42" t="s">
        <v>269</v>
      </c>
      <c r="E93" s="43" t="s">
        <v>272</v>
      </c>
      <c r="F93" s="43" t="s">
        <v>273</v>
      </c>
      <c r="G93" s="43"/>
      <c r="H93" s="43"/>
    </row>
    <row r="94" customFormat="false" ht="15" hidden="false" customHeight="true" outlineLevel="0" collapsed="false">
      <c r="A94" s="47" t="s">
        <v>76</v>
      </c>
      <c r="B94" s="48" t="s">
        <v>195</v>
      </c>
      <c r="C94" s="47" t="s">
        <v>274</v>
      </c>
      <c r="D94" s="47" t="s">
        <v>275</v>
      </c>
      <c r="E94" s="47" t="s">
        <v>276</v>
      </c>
      <c r="F94" s="47" t="s">
        <v>273</v>
      </c>
      <c r="G94" s="47"/>
      <c r="H94" s="47"/>
    </row>
    <row r="95" customFormat="false" ht="15" hidden="false" customHeight="true" outlineLevel="0" collapsed="false">
      <c r="A95" s="43" t="s">
        <v>76</v>
      </c>
      <c r="B95" s="42" t="s">
        <v>195</v>
      </c>
      <c r="C95" s="43" t="s">
        <v>274</v>
      </c>
      <c r="D95" s="43" t="s">
        <v>275</v>
      </c>
      <c r="E95" s="42" t="s">
        <v>277</v>
      </c>
      <c r="F95" s="43" t="s">
        <v>273</v>
      </c>
      <c r="G95" s="43"/>
      <c r="H95" s="43"/>
    </row>
    <row r="96" customFormat="false" ht="15" hidden="false" customHeight="true" outlineLevel="0" collapsed="false">
      <c r="A96" s="47" t="s">
        <v>76</v>
      </c>
      <c r="B96" s="48" t="s">
        <v>195</v>
      </c>
      <c r="C96" s="47" t="s">
        <v>278</v>
      </c>
      <c r="D96" s="48" t="s">
        <v>279</v>
      </c>
      <c r="E96" s="48" t="s">
        <v>280</v>
      </c>
      <c r="F96" s="48" t="s">
        <v>281</v>
      </c>
      <c r="G96" s="47"/>
      <c r="H96" s="47"/>
    </row>
    <row r="97" customFormat="false" ht="15" hidden="false" customHeight="true" outlineLevel="0" collapsed="false">
      <c r="A97" s="43" t="s">
        <v>76</v>
      </c>
      <c r="B97" s="42" t="s">
        <v>195</v>
      </c>
      <c r="C97" s="43" t="s">
        <v>278</v>
      </c>
      <c r="D97" s="43" t="s">
        <v>12</v>
      </c>
      <c r="E97" s="42" t="s">
        <v>282</v>
      </c>
      <c r="F97" s="43" t="s">
        <v>271</v>
      </c>
      <c r="G97" s="43"/>
      <c r="H97" s="43"/>
    </row>
    <row r="98" customFormat="false" ht="27.75" hidden="false" customHeight="true" outlineLevel="0" collapsed="false">
      <c r="A98" s="47" t="s">
        <v>76</v>
      </c>
      <c r="B98" s="48" t="s">
        <v>195</v>
      </c>
      <c r="C98" s="47" t="s">
        <v>283</v>
      </c>
      <c r="D98" s="47" t="s">
        <v>275</v>
      </c>
      <c r="E98" s="48" t="s">
        <v>284</v>
      </c>
      <c r="F98" s="48" t="s">
        <v>285</v>
      </c>
      <c r="G98" s="47"/>
      <c r="H98" s="47"/>
    </row>
    <row r="99" customFormat="false" ht="15" hidden="false" customHeight="true" outlineLevel="0" collapsed="false">
      <c r="A99" s="43" t="s">
        <v>76</v>
      </c>
      <c r="B99" s="42" t="s">
        <v>195</v>
      </c>
      <c r="C99" s="43" t="s">
        <v>283</v>
      </c>
      <c r="D99" s="43" t="s">
        <v>275</v>
      </c>
      <c r="E99" s="42" t="s">
        <v>286</v>
      </c>
      <c r="F99" s="43" t="s">
        <v>273</v>
      </c>
      <c r="G99" s="43"/>
      <c r="H99" s="43"/>
    </row>
    <row r="100" customFormat="false" ht="15" hidden="false" customHeight="true" outlineLevel="0" collapsed="false">
      <c r="A100" s="47" t="s">
        <v>76</v>
      </c>
      <c r="B100" s="48" t="s">
        <v>195</v>
      </c>
      <c r="C100" s="47" t="s">
        <v>287</v>
      </c>
      <c r="D100" s="47" t="s">
        <v>275</v>
      </c>
      <c r="E100" s="48" t="s">
        <v>288</v>
      </c>
      <c r="F100" s="47" t="s">
        <v>273</v>
      </c>
      <c r="G100" s="47"/>
      <c r="H100" s="47"/>
    </row>
    <row r="101" customFormat="false" ht="15" hidden="false" customHeight="true" outlineLevel="0" collapsed="false">
      <c r="A101" s="43" t="s">
        <v>76</v>
      </c>
      <c r="B101" s="42" t="s">
        <v>195</v>
      </c>
      <c r="C101" s="43" t="s">
        <v>287</v>
      </c>
      <c r="D101" s="43" t="s">
        <v>275</v>
      </c>
      <c r="E101" s="42" t="s">
        <v>289</v>
      </c>
      <c r="F101" s="43" t="s">
        <v>273</v>
      </c>
      <c r="G101" s="43"/>
      <c r="H101" s="43"/>
    </row>
    <row r="102" customFormat="false" ht="15" hidden="false" customHeight="true" outlineLevel="0" collapsed="false">
      <c r="A102" s="49" t="s">
        <v>77</v>
      </c>
      <c r="B102" s="50" t="s">
        <v>196</v>
      </c>
      <c r="C102" s="49" t="s">
        <v>268</v>
      </c>
      <c r="D102" s="50" t="s">
        <v>269</v>
      </c>
      <c r="E102" s="49" t="s">
        <v>270</v>
      </c>
      <c r="F102" s="49" t="s">
        <v>271</v>
      </c>
      <c r="G102" s="49"/>
      <c r="H102" s="49"/>
    </row>
    <row r="103" customFormat="false" ht="15" hidden="false" customHeight="true" outlineLevel="0" collapsed="false">
      <c r="A103" s="49" t="s">
        <v>77</v>
      </c>
      <c r="B103" s="50" t="s">
        <v>196</v>
      </c>
      <c r="C103" s="49" t="s">
        <v>268</v>
      </c>
      <c r="D103" s="50" t="s">
        <v>269</v>
      </c>
      <c r="E103" s="49" t="s">
        <v>272</v>
      </c>
      <c r="F103" s="49" t="s">
        <v>273</v>
      </c>
      <c r="G103" s="49"/>
      <c r="H103" s="49"/>
    </row>
    <row r="104" customFormat="false" ht="15" hidden="false" customHeight="true" outlineLevel="0" collapsed="false">
      <c r="A104" s="49" t="s">
        <v>77</v>
      </c>
      <c r="B104" s="50" t="s">
        <v>196</v>
      </c>
      <c r="C104" s="49" t="s">
        <v>274</v>
      </c>
      <c r="D104" s="49" t="s">
        <v>275</v>
      </c>
      <c r="E104" s="49" t="s">
        <v>276</v>
      </c>
      <c r="F104" s="49" t="s">
        <v>273</v>
      </c>
      <c r="G104" s="49"/>
      <c r="H104" s="49"/>
    </row>
    <row r="105" customFormat="false" ht="15" hidden="false" customHeight="true" outlineLevel="0" collapsed="false">
      <c r="A105" s="49" t="s">
        <v>77</v>
      </c>
      <c r="B105" s="50" t="s">
        <v>196</v>
      </c>
      <c r="C105" s="49" t="s">
        <v>274</v>
      </c>
      <c r="D105" s="49" t="s">
        <v>275</v>
      </c>
      <c r="E105" s="50" t="s">
        <v>277</v>
      </c>
      <c r="F105" s="49" t="s">
        <v>273</v>
      </c>
      <c r="G105" s="49"/>
      <c r="H105" s="49"/>
    </row>
    <row r="106" customFormat="false" ht="15" hidden="false" customHeight="true" outlineLevel="0" collapsed="false">
      <c r="A106" s="49" t="s">
        <v>77</v>
      </c>
      <c r="B106" s="50" t="s">
        <v>196</v>
      </c>
      <c r="C106" s="49" t="s">
        <v>278</v>
      </c>
      <c r="D106" s="50" t="s">
        <v>279</v>
      </c>
      <c r="E106" s="50" t="s">
        <v>280</v>
      </c>
      <c r="F106" s="50" t="s">
        <v>281</v>
      </c>
      <c r="G106" s="49"/>
      <c r="H106" s="49"/>
    </row>
    <row r="107" customFormat="false" ht="15" hidden="false" customHeight="true" outlineLevel="0" collapsed="false">
      <c r="A107" s="49" t="s">
        <v>77</v>
      </c>
      <c r="B107" s="50" t="s">
        <v>196</v>
      </c>
      <c r="C107" s="49" t="s">
        <v>278</v>
      </c>
      <c r="D107" s="49" t="s">
        <v>12</v>
      </c>
      <c r="E107" s="50" t="s">
        <v>282</v>
      </c>
      <c r="F107" s="49" t="s">
        <v>271</v>
      </c>
      <c r="G107" s="49"/>
      <c r="H107" s="49"/>
    </row>
    <row r="108" customFormat="false" ht="27.75" hidden="false" customHeight="true" outlineLevel="0" collapsed="false">
      <c r="A108" s="49" t="s">
        <v>77</v>
      </c>
      <c r="B108" s="50" t="s">
        <v>196</v>
      </c>
      <c r="C108" s="49" t="s">
        <v>283</v>
      </c>
      <c r="D108" s="49" t="s">
        <v>275</v>
      </c>
      <c r="E108" s="50" t="s">
        <v>284</v>
      </c>
      <c r="F108" s="50" t="s">
        <v>285</v>
      </c>
      <c r="G108" s="49"/>
      <c r="H108" s="49"/>
    </row>
    <row r="109" customFormat="false" ht="15" hidden="false" customHeight="true" outlineLevel="0" collapsed="false">
      <c r="A109" s="49" t="s">
        <v>77</v>
      </c>
      <c r="B109" s="50" t="s">
        <v>196</v>
      </c>
      <c r="C109" s="49" t="s">
        <v>283</v>
      </c>
      <c r="D109" s="49" t="s">
        <v>275</v>
      </c>
      <c r="E109" s="50" t="s">
        <v>286</v>
      </c>
      <c r="F109" s="49" t="s">
        <v>273</v>
      </c>
      <c r="G109" s="49"/>
      <c r="H109" s="49"/>
    </row>
    <row r="110" customFormat="false" ht="15" hidden="false" customHeight="true" outlineLevel="0" collapsed="false">
      <c r="A110" s="49" t="s">
        <v>77</v>
      </c>
      <c r="B110" s="50" t="s">
        <v>196</v>
      </c>
      <c r="C110" s="49" t="s">
        <v>287</v>
      </c>
      <c r="D110" s="49" t="s">
        <v>275</v>
      </c>
      <c r="E110" s="50" t="s">
        <v>288</v>
      </c>
      <c r="F110" s="49" t="s">
        <v>273</v>
      </c>
      <c r="G110" s="49"/>
      <c r="H110" s="49"/>
    </row>
    <row r="111" customFormat="false" ht="15" hidden="false" customHeight="true" outlineLevel="0" collapsed="false">
      <c r="A111" s="49" t="s">
        <v>77</v>
      </c>
      <c r="B111" s="50" t="s">
        <v>196</v>
      </c>
      <c r="C111" s="49" t="s">
        <v>287</v>
      </c>
      <c r="D111" s="49" t="s">
        <v>275</v>
      </c>
      <c r="E111" s="50" t="s">
        <v>289</v>
      </c>
      <c r="F111" s="49" t="s">
        <v>273</v>
      </c>
      <c r="G111" s="49"/>
      <c r="H111" s="49"/>
    </row>
    <row r="112" customFormat="false" ht="15" hidden="false" customHeight="true" outlineLevel="0" collapsed="false">
      <c r="A112" s="49" t="s">
        <v>78</v>
      </c>
      <c r="B112" s="50" t="s">
        <v>197</v>
      </c>
      <c r="C112" s="49" t="s">
        <v>268</v>
      </c>
      <c r="D112" s="50" t="s">
        <v>269</v>
      </c>
      <c r="E112" s="49" t="s">
        <v>270</v>
      </c>
      <c r="F112" s="49" t="s">
        <v>271</v>
      </c>
      <c r="G112" s="49"/>
      <c r="H112" s="49"/>
    </row>
    <row r="113" customFormat="false" ht="15" hidden="false" customHeight="true" outlineLevel="0" collapsed="false">
      <c r="A113" s="49" t="s">
        <v>78</v>
      </c>
      <c r="B113" s="50" t="s">
        <v>197</v>
      </c>
      <c r="C113" s="49" t="s">
        <v>268</v>
      </c>
      <c r="D113" s="50" t="s">
        <v>269</v>
      </c>
      <c r="E113" s="49" t="s">
        <v>272</v>
      </c>
      <c r="F113" s="49" t="s">
        <v>273</v>
      </c>
      <c r="G113" s="49"/>
      <c r="H113" s="49"/>
    </row>
    <row r="114" customFormat="false" ht="15" hidden="false" customHeight="true" outlineLevel="0" collapsed="false">
      <c r="A114" s="49" t="s">
        <v>78</v>
      </c>
      <c r="B114" s="50" t="s">
        <v>197</v>
      </c>
      <c r="C114" s="49" t="s">
        <v>274</v>
      </c>
      <c r="D114" s="49" t="s">
        <v>275</v>
      </c>
      <c r="E114" s="49" t="s">
        <v>276</v>
      </c>
      <c r="F114" s="49" t="s">
        <v>273</v>
      </c>
      <c r="G114" s="49"/>
      <c r="H114" s="49"/>
    </row>
    <row r="115" customFormat="false" ht="15" hidden="false" customHeight="true" outlineLevel="0" collapsed="false">
      <c r="A115" s="49" t="s">
        <v>78</v>
      </c>
      <c r="B115" s="50" t="s">
        <v>197</v>
      </c>
      <c r="C115" s="49" t="s">
        <v>274</v>
      </c>
      <c r="D115" s="49" t="s">
        <v>275</v>
      </c>
      <c r="E115" s="50" t="s">
        <v>277</v>
      </c>
      <c r="F115" s="49" t="s">
        <v>273</v>
      </c>
      <c r="G115" s="49"/>
      <c r="H115" s="49"/>
    </row>
    <row r="116" customFormat="false" ht="15" hidden="false" customHeight="true" outlineLevel="0" collapsed="false">
      <c r="A116" s="49" t="s">
        <v>78</v>
      </c>
      <c r="B116" s="50" t="s">
        <v>197</v>
      </c>
      <c r="C116" s="49" t="s">
        <v>278</v>
      </c>
      <c r="D116" s="50" t="s">
        <v>279</v>
      </c>
      <c r="E116" s="50" t="s">
        <v>280</v>
      </c>
      <c r="F116" s="50" t="s">
        <v>281</v>
      </c>
      <c r="G116" s="49"/>
      <c r="H116" s="49"/>
    </row>
    <row r="117" customFormat="false" ht="15" hidden="false" customHeight="true" outlineLevel="0" collapsed="false">
      <c r="A117" s="49" t="s">
        <v>78</v>
      </c>
      <c r="B117" s="50" t="s">
        <v>197</v>
      </c>
      <c r="C117" s="49" t="s">
        <v>278</v>
      </c>
      <c r="D117" s="49" t="s">
        <v>12</v>
      </c>
      <c r="E117" s="50" t="s">
        <v>282</v>
      </c>
      <c r="F117" s="49" t="s">
        <v>271</v>
      </c>
      <c r="G117" s="49"/>
      <c r="H117" s="49"/>
    </row>
    <row r="118" customFormat="false" ht="27.75" hidden="false" customHeight="true" outlineLevel="0" collapsed="false">
      <c r="A118" s="49" t="s">
        <v>78</v>
      </c>
      <c r="B118" s="50" t="s">
        <v>197</v>
      </c>
      <c r="C118" s="49" t="s">
        <v>283</v>
      </c>
      <c r="D118" s="49" t="s">
        <v>275</v>
      </c>
      <c r="E118" s="50" t="s">
        <v>284</v>
      </c>
      <c r="F118" s="50" t="s">
        <v>285</v>
      </c>
      <c r="G118" s="49"/>
      <c r="H118" s="49"/>
    </row>
    <row r="119" customFormat="false" ht="15" hidden="false" customHeight="true" outlineLevel="0" collapsed="false">
      <c r="A119" s="49" t="s">
        <v>78</v>
      </c>
      <c r="B119" s="50" t="s">
        <v>197</v>
      </c>
      <c r="C119" s="49" t="s">
        <v>283</v>
      </c>
      <c r="D119" s="49" t="s">
        <v>275</v>
      </c>
      <c r="E119" s="50" t="s">
        <v>286</v>
      </c>
      <c r="F119" s="49" t="s">
        <v>273</v>
      </c>
      <c r="G119" s="49"/>
      <c r="H119" s="49"/>
    </row>
    <row r="120" customFormat="false" ht="15" hidden="false" customHeight="true" outlineLevel="0" collapsed="false">
      <c r="A120" s="49" t="s">
        <v>78</v>
      </c>
      <c r="B120" s="50" t="s">
        <v>197</v>
      </c>
      <c r="C120" s="49" t="s">
        <v>287</v>
      </c>
      <c r="D120" s="49" t="s">
        <v>275</v>
      </c>
      <c r="E120" s="50" t="s">
        <v>288</v>
      </c>
      <c r="F120" s="49" t="s">
        <v>273</v>
      </c>
      <c r="G120" s="49"/>
      <c r="H120" s="49"/>
    </row>
    <row r="121" customFormat="false" ht="15" hidden="false" customHeight="true" outlineLevel="0" collapsed="false">
      <c r="A121" s="49" t="s">
        <v>78</v>
      </c>
      <c r="B121" s="50" t="s">
        <v>197</v>
      </c>
      <c r="C121" s="49" t="s">
        <v>287</v>
      </c>
      <c r="D121" s="49" t="s">
        <v>275</v>
      </c>
      <c r="E121" s="50" t="s">
        <v>289</v>
      </c>
      <c r="F121" s="49" t="s">
        <v>273</v>
      </c>
      <c r="G121" s="49"/>
      <c r="H121" s="49"/>
    </row>
    <row r="122" customFormat="false" ht="15" hidden="false" customHeight="true" outlineLevel="0" collapsed="false">
      <c r="A122" s="47" t="s">
        <v>79</v>
      </c>
      <c r="B122" s="48" t="s">
        <v>198</v>
      </c>
      <c r="C122" s="47" t="s">
        <v>268</v>
      </c>
      <c r="D122" s="48" t="s">
        <v>269</v>
      </c>
      <c r="E122" s="47" t="s">
        <v>270</v>
      </c>
      <c r="F122" s="47" t="s">
        <v>271</v>
      </c>
      <c r="G122" s="47"/>
      <c r="H122" s="47"/>
    </row>
    <row r="123" customFormat="false" ht="15" hidden="false" customHeight="true" outlineLevel="0" collapsed="false">
      <c r="A123" s="43" t="s">
        <v>79</v>
      </c>
      <c r="B123" s="42" t="s">
        <v>198</v>
      </c>
      <c r="C123" s="43" t="s">
        <v>268</v>
      </c>
      <c r="D123" s="42" t="s">
        <v>269</v>
      </c>
      <c r="E123" s="43" t="s">
        <v>272</v>
      </c>
      <c r="F123" s="43" t="s">
        <v>273</v>
      </c>
      <c r="G123" s="43"/>
      <c r="H123" s="43"/>
    </row>
    <row r="124" customFormat="false" ht="15" hidden="false" customHeight="true" outlineLevel="0" collapsed="false">
      <c r="A124" s="47" t="s">
        <v>79</v>
      </c>
      <c r="B124" s="48" t="s">
        <v>198</v>
      </c>
      <c r="C124" s="47" t="s">
        <v>274</v>
      </c>
      <c r="D124" s="47" t="s">
        <v>275</v>
      </c>
      <c r="E124" s="47" t="s">
        <v>276</v>
      </c>
      <c r="F124" s="47" t="s">
        <v>273</v>
      </c>
      <c r="G124" s="47"/>
      <c r="H124" s="47"/>
    </row>
    <row r="125" customFormat="false" ht="15" hidden="false" customHeight="true" outlineLevel="0" collapsed="false">
      <c r="A125" s="43" t="s">
        <v>79</v>
      </c>
      <c r="B125" s="42" t="s">
        <v>198</v>
      </c>
      <c r="C125" s="43" t="s">
        <v>274</v>
      </c>
      <c r="D125" s="43" t="s">
        <v>275</v>
      </c>
      <c r="E125" s="42" t="s">
        <v>277</v>
      </c>
      <c r="F125" s="43" t="s">
        <v>273</v>
      </c>
      <c r="G125" s="43"/>
      <c r="H125" s="43"/>
    </row>
    <row r="126" customFormat="false" ht="15" hidden="false" customHeight="true" outlineLevel="0" collapsed="false">
      <c r="A126" s="47" t="s">
        <v>79</v>
      </c>
      <c r="B126" s="48" t="s">
        <v>198</v>
      </c>
      <c r="C126" s="47" t="s">
        <v>278</v>
      </c>
      <c r="D126" s="48" t="s">
        <v>279</v>
      </c>
      <c r="E126" s="48" t="s">
        <v>280</v>
      </c>
      <c r="F126" s="48" t="s">
        <v>281</v>
      </c>
      <c r="G126" s="47"/>
      <c r="H126" s="47"/>
    </row>
    <row r="127" customFormat="false" ht="15" hidden="false" customHeight="true" outlineLevel="0" collapsed="false">
      <c r="A127" s="43" t="s">
        <v>79</v>
      </c>
      <c r="B127" s="42" t="s">
        <v>198</v>
      </c>
      <c r="C127" s="43" t="s">
        <v>278</v>
      </c>
      <c r="D127" s="43" t="s">
        <v>12</v>
      </c>
      <c r="E127" s="42" t="s">
        <v>282</v>
      </c>
      <c r="F127" s="43" t="s">
        <v>271</v>
      </c>
      <c r="G127" s="43"/>
      <c r="H127" s="43"/>
    </row>
    <row r="128" customFormat="false" ht="27.75" hidden="false" customHeight="true" outlineLevel="0" collapsed="false">
      <c r="A128" s="47" t="s">
        <v>79</v>
      </c>
      <c r="B128" s="48" t="s">
        <v>198</v>
      </c>
      <c r="C128" s="47" t="s">
        <v>283</v>
      </c>
      <c r="D128" s="47" t="s">
        <v>275</v>
      </c>
      <c r="E128" s="48" t="s">
        <v>284</v>
      </c>
      <c r="F128" s="48" t="s">
        <v>285</v>
      </c>
      <c r="G128" s="47"/>
      <c r="H128" s="47"/>
    </row>
    <row r="129" customFormat="false" ht="15" hidden="false" customHeight="true" outlineLevel="0" collapsed="false">
      <c r="A129" s="43" t="s">
        <v>79</v>
      </c>
      <c r="B129" s="42" t="s">
        <v>198</v>
      </c>
      <c r="C129" s="43" t="s">
        <v>283</v>
      </c>
      <c r="D129" s="43" t="s">
        <v>275</v>
      </c>
      <c r="E129" s="42" t="s">
        <v>286</v>
      </c>
      <c r="F129" s="43" t="s">
        <v>273</v>
      </c>
      <c r="G129" s="43"/>
      <c r="H129" s="43"/>
    </row>
    <row r="130" customFormat="false" ht="15" hidden="false" customHeight="true" outlineLevel="0" collapsed="false">
      <c r="A130" s="47" t="s">
        <v>79</v>
      </c>
      <c r="B130" s="48" t="s">
        <v>198</v>
      </c>
      <c r="C130" s="47" t="s">
        <v>287</v>
      </c>
      <c r="D130" s="47" t="s">
        <v>275</v>
      </c>
      <c r="E130" s="48" t="s">
        <v>288</v>
      </c>
      <c r="F130" s="47" t="s">
        <v>273</v>
      </c>
      <c r="G130" s="47"/>
      <c r="H130" s="47"/>
    </row>
    <row r="131" customFormat="false" ht="15" hidden="false" customHeight="true" outlineLevel="0" collapsed="false">
      <c r="A131" s="43" t="s">
        <v>79</v>
      </c>
      <c r="B131" s="42" t="s">
        <v>198</v>
      </c>
      <c r="C131" s="43" t="s">
        <v>287</v>
      </c>
      <c r="D131" s="43" t="s">
        <v>275</v>
      </c>
      <c r="E131" s="42" t="s">
        <v>289</v>
      </c>
      <c r="F131" s="43" t="s">
        <v>273</v>
      </c>
      <c r="G131" s="43"/>
      <c r="H131" s="43"/>
    </row>
    <row r="132" customFormat="false" ht="15" hidden="false" customHeight="true" outlineLevel="0" collapsed="false">
      <c r="A132" s="47" t="s">
        <v>80</v>
      </c>
      <c r="B132" s="48" t="s">
        <v>199</v>
      </c>
      <c r="C132" s="47" t="s">
        <v>268</v>
      </c>
      <c r="D132" s="48" t="s">
        <v>269</v>
      </c>
      <c r="E132" s="47" t="s">
        <v>270</v>
      </c>
      <c r="F132" s="47" t="s">
        <v>271</v>
      </c>
      <c r="G132" s="47"/>
      <c r="H132" s="47"/>
    </row>
    <row r="133" customFormat="false" ht="15" hidden="false" customHeight="true" outlineLevel="0" collapsed="false">
      <c r="A133" s="43" t="s">
        <v>80</v>
      </c>
      <c r="B133" s="42" t="s">
        <v>199</v>
      </c>
      <c r="C133" s="43" t="s">
        <v>268</v>
      </c>
      <c r="D133" s="42" t="s">
        <v>269</v>
      </c>
      <c r="E133" s="43" t="s">
        <v>272</v>
      </c>
      <c r="F133" s="43" t="s">
        <v>273</v>
      </c>
      <c r="G133" s="43"/>
      <c r="H133" s="43"/>
    </row>
    <row r="134" customFormat="false" ht="15" hidden="false" customHeight="true" outlineLevel="0" collapsed="false">
      <c r="A134" s="47" t="s">
        <v>80</v>
      </c>
      <c r="B134" s="48" t="s">
        <v>199</v>
      </c>
      <c r="C134" s="47" t="s">
        <v>274</v>
      </c>
      <c r="D134" s="47" t="s">
        <v>275</v>
      </c>
      <c r="E134" s="47" t="s">
        <v>276</v>
      </c>
      <c r="F134" s="47" t="s">
        <v>273</v>
      </c>
      <c r="G134" s="47"/>
      <c r="H134" s="47"/>
    </row>
    <row r="135" customFormat="false" ht="15" hidden="false" customHeight="true" outlineLevel="0" collapsed="false">
      <c r="A135" s="43" t="s">
        <v>80</v>
      </c>
      <c r="B135" s="42" t="s">
        <v>199</v>
      </c>
      <c r="C135" s="43" t="s">
        <v>274</v>
      </c>
      <c r="D135" s="43" t="s">
        <v>275</v>
      </c>
      <c r="E135" s="42" t="s">
        <v>277</v>
      </c>
      <c r="F135" s="43" t="s">
        <v>273</v>
      </c>
      <c r="G135" s="43"/>
      <c r="H135" s="43"/>
    </row>
    <row r="136" customFormat="false" ht="15" hidden="false" customHeight="true" outlineLevel="0" collapsed="false">
      <c r="A136" s="47" t="s">
        <v>80</v>
      </c>
      <c r="B136" s="48" t="s">
        <v>199</v>
      </c>
      <c r="C136" s="47" t="s">
        <v>278</v>
      </c>
      <c r="D136" s="48" t="s">
        <v>279</v>
      </c>
      <c r="E136" s="48" t="s">
        <v>280</v>
      </c>
      <c r="F136" s="48" t="s">
        <v>281</v>
      </c>
      <c r="G136" s="47"/>
      <c r="H136" s="47"/>
    </row>
    <row r="137" customFormat="false" ht="15" hidden="false" customHeight="true" outlineLevel="0" collapsed="false">
      <c r="A137" s="43" t="s">
        <v>80</v>
      </c>
      <c r="B137" s="42" t="s">
        <v>199</v>
      </c>
      <c r="C137" s="43" t="s">
        <v>278</v>
      </c>
      <c r="D137" s="43" t="s">
        <v>12</v>
      </c>
      <c r="E137" s="42" t="s">
        <v>282</v>
      </c>
      <c r="F137" s="43" t="s">
        <v>271</v>
      </c>
      <c r="G137" s="43"/>
      <c r="H137" s="43"/>
    </row>
    <row r="138" customFormat="false" ht="27.75" hidden="false" customHeight="true" outlineLevel="0" collapsed="false">
      <c r="A138" s="47" t="s">
        <v>80</v>
      </c>
      <c r="B138" s="48" t="s">
        <v>199</v>
      </c>
      <c r="C138" s="47" t="s">
        <v>283</v>
      </c>
      <c r="D138" s="47" t="s">
        <v>275</v>
      </c>
      <c r="E138" s="48" t="s">
        <v>284</v>
      </c>
      <c r="F138" s="48" t="s">
        <v>285</v>
      </c>
      <c r="G138" s="47"/>
      <c r="H138" s="47"/>
    </row>
    <row r="139" customFormat="false" ht="15" hidden="false" customHeight="true" outlineLevel="0" collapsed="false">
      <c r="A139" s="43" t="s">
        <v>80</v>
      </c>
      <c r="B139" s="42" t="s">
        <v>199</v>
      </c>
      <c r="C139" s="43" t="s">
        <v>283</v>
      </c>
      <c r="D139" s="43" t="s">
        <v>275</v>
      </c>
      <c r="E139" s="42" t="s">
        <v>286</v>
      </c>
      <c r="F139" s="43" t="s">
        <v>273</v>
      </c>
      <c r="G139" s="43"/>
      <c r="H139" s="43"/>
    </row>
    <row r="140" customFormat="false" ht="15" hidden="false" customHeight="true" outlineLevel="0" collapsed="false">
      <c r="A140" s="47" t="s">
        <v>80</v>
      </c>
      <c r="B140" s="48" t="s">
        <v>199</v>
      </c>
      <c r="C140" s="47" t="s">
        <v>287</v>
      </c>
      <c r="D140" s="47" t="s">
        <v>275</v>
      </c>
      <c r="E140" s="48" t="s">
        <v>288</v>
      </c>
      <c r="F140" s="47" t="s">
        <v>273</v>
      </c>
      <c r="G140" s="47"/>
      <c r="H140" s="47"/>
    </row>
    <row r="141" customFormat="false" ht="15" hidden="false" customHeight="true" outlineLevel="0" collapsed="false">
      <c r="A141" s="43" t="s">
        <v>80</v>
      </c>
      <c r="B141" s="42" t="s">
        <v>199</v>
      </c>
      <c r="C141" s="43" t="s">
        <v>287</v>
      </c>
      <c r="D141" s="43" t="s">
        <v>275</v>
      </c>
      <c r="E141" s="42" t="s">
        <v>289</v>
      </c>
      <c r="F141" s="43" t="s">
        <v>273</v>
      </c>
      <c r="G141" s="43"/>
      <c r="H141" s="4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46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24"/>
  </cols>
  <sheetData>
    <row r="1" customFormat="false" ht="15" hidden="false" customHeight="true" outlineLevel="0" collapsed="false">
      <c r="A1" s="5" t="s">
        <v>183</v>
      </c>
      <c r="B1" s="5" t="s">
        <v>237</v>
      </c>
      <c r="C1" s="5" t="s">
        <v>290</v>
      </c>
      <c r="D1" s="5" t="s">
        <v>265</v>
      </c>
      <c r="E1" s="5" t="s">
        <v>291</v>
      </c>
      <c r="F1" s="5" t="s">
        <v>292</v>
      </c>
    </row>
    <row r="2" customFormat="false" ht="27.75" hidden="false" customHeight="true" outlineLevel="0" collapsed="false">
      <c r="A2" s="42" t="s">
        <v>198</v>
      </c>
      <c r="B2" s="42" t="s">
        <v>293</v>
      </c>
      <c r="C2" s="42" t="s">
        <v>294</v>
      </c>
      <c r="D2" s="43" t="s">
        <v>271</v>
      </c>
      <c r="E2" s="43" t="s">
        <v>295</v>
      </c>
      <c r="F2" s="42" t="s">
        <v>296</v>
      </c>
    </row>
    <row r="3" customFormat="false" ht="15" hidden="false" customHeight="true" outlineLevel="0" collapsed="false">
      <c r="A3" s="42" t="s">
        <v>198</v>
      </c>
      <c r="B3" s="43" t="s">
        <v>275</v>
      </c>
      <c r="C3" s="42" t="s">
        <v>297</v>
      </c>
      <c r="D3" s="43" t="s">
        <v>273</v>
      </c>
      <c r="E3" s="43" t="s">
        <v>298</v>
      </c>
      <c r="F3" s="42" t="s">
        <v>299</v>
      </c>
    </row>
    <row r="4" customFormat="false" ht="15" hidden="false" customHeight="true" outlineLevel="0" collapsed="false">
      <c r="A4" s="42" t="s">
        <v>199</v>
      </c>
      <c r="B4" s="43" t="s">
        <v>12</v>
      </c>
      <c r="C4" s="42" t="s">
        <v>300</v>
      </c>
      <c r="D4" s="42" t="s">
        <v>281</v>
      </c>
      <c r="E4" s="42" t="s">
        <v>301</v>
      </c>
      <c r="F4" s="42" t="s">
        <v>302</v>
      </c>
    </row>
    <row r="5" customFormat="false" ht="15" hidden="false" customHeight="true" outlineLevel="0" collapsed="false">
      <c r="A5" s="42" t="s">
        <v>199</v>
      </c>
      <c r="B5" s="43" t="s">
        <v>275</v>
      </c>
      <c r="C5" s="42" t="s">
        <v>303</v>
      </c>
      <c r="D5" s="43" t="s">
        <v>273</v>
      </c>
      <c r="E5" s="43" t="s">
        <v>298</v>
      </c>
      <c r="F5" s="42" t="s">
        <v>304</v>
      </c>
    </row>
    <row r="6" customFormat="false" ht="15" hidden="false" customHeight="true" outlineLevel="0" collapsed="false">
      <c r="A6" s="42" t="s">
        <v>193</v>
      </c>
      <c r="B6" s="42" t="s">
        <v>279</v>
      </c>
      <c r="C6" s="42" t="s">
        <v>305</v>
      </c>
      <c r="D6" s="42" t="s">
        <v>281</v>
      </c>
      <c r="E6" s="42" t="s">
        <v>301</v>
      </c>
      <c r="F6" s="42" t="s">
        <v>302</v>
      </c>
    </row>
    <row r="7" customFormat="false" ht="15" hidden="false" customHeight="true" outlineLevel="0" collapsed="false">
      <c r="A7" s="42" t="s">
        <v>194</v>
      </c>
      <c r="B7" s="43" t="s">
        <v>275</v>
      </c>
      <c r="C7" s="42" t="s">
        <v>306</v>
      </c>
      <c r="D7" s="43" t="s">
        <v>273</v>
      </c>
      <c r="E7" s="43" t="s">
        <v>295</v>
      </c>
      <c r="F7" s="42" t="s">
        <v>304</v>
      </c>
    </row>
    <row r="8" customFormat="false" ht="15" hidden="false" customHeight="true" outlineLevel="0" collapsed="false">
      <c r="A8" s="42" t="s">
        <v>194</v>
      </c>
      <c r="B8" s="43" t="s">
        <v>12</v>
      </c>
      <c r="C8" s="42" t="s">
        <v>307</v>
      </c>
      <c r="D8" s="42" t="s">
        <v>281</v>
      </c>
      <c r="E8" s="42" t="s">
        <v>301</v>
      </c>
      <c r="F8" s="42" t="s">
        <v>308</v>
      </c>
    </row>
    <row r="9" customFormat="false" ht="15" hidden="false" customHeight="true" outlineLevel="0" collapsed="false">
      <c r="A9" s="42" t="s">
        <v>195</v>
      </c>
      <c r="B9" s="42" t="s">
        <v>309</v>
      </c>
      <c r="C9" s="42" t="s">
        <v>310</v>
      </c>
      <c r="D9" s="43" t="s">
        <v>271</v>
      </c>
      <c r="E9" s="43" t="s">
        <v>295</v>
      </c>
      <c r="F9" s="42" t="s">
        <v>311</v>
      </c>
    </row>
    <row r="10" customFormat="false" ht="15" hidden="false" customHeight="true" outlineLevel="0" collapsed="false">
      <c r="A10" s="42" t="s">
        <v>195</v>
      </c>
      <c r="B10" s="42" t="s">
        <v>279</v>
      </c>
      <c r="C10" s="42" t="s">
        <v>312</v>
      </c>
      <c r="D10" s="42" t="s">
        <v>281</v>
      </c>
      <c r="E10" s="42" t="s">
        <v>301</v>
      </c>
      <c r="F10" s="42" t="s">
        <v>302</v>
      </c>
    </row>
    <row r="11" customFormat="false" ht="15" hidden="false" customHeight="true" outlineLevel="0" collapsed="false">
      <c r="A11" s="42" t="s">
        <v>196</v>
      </c>
      <c r="B11" s="43" t="s">
        <v>275</v>
      </c>
      <c r="C11" s="42" t="s">
        <v>313</v>
      </c>
      <c r="D11" s="43" t="s">
        <v>273</v>
      </c>
      <c r="E11" s="43" t="s">
        <v>295</v>
      </c>
      <c r="F11" s="42" t="s">
        <v>304</v>
      </c>
    </row>
    <row r="12" customFormat="false" ht="27.75" hidden="false" customHeight="true" outlineLevel="0" collapsed="false">
      <c r="A12" s="42" t="s">
        <v>197</v>
      </c>
      <c r="B12" s="42" t="s">
        <v>314</v>
      </c>
      <c r="C12" s="42" t="s">
        <v>315</v>
      </c>
      <c r="D12" s="43" t="s">
        <v>273</v>
      </c>
      <c r="E12" s="43" t="s">
        <v>316</v>
      </c>
      <c r="F12" s="42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0"/>
  </cols>
  <sheetData>
    <row r="1" customFormat="false" ht="15" hidden="false" customHeight="true" outlineLevel="0" collapsed="false">
      <c r="A1" s="5" t="s">
        <v>318</v>
      </c>
      <c r="B1" s="5" t="s">
        <v>237</v>
      </c>
      <c r="C1" s="5" t="s">
        <v>290</v>
      </c>
      <c r="D1" s="5" t="s">
        <v>265</v>
      </c>
      <c r="E1" s="5" t="s">
        <v>292</v>
      </c>
      <c r="F1" s="5" t="s">
        <v>319</v>
      </c>
    </row>
    <row r="2" customFormat="false" ht="27.75" hidden="false" customHeight="true" outlineLevel="0" collapsed="false">
      <c r="A2" s="42" t="s">
        <v>320</v>
      </c>
      <c r="B2" s="42" t="s">
        <v>269</v>
      </c>
      <c r="C2" s="43" t="s">
        <v>321</v>
      </c>
      <c r="D2" s="43" t="s">
        <v>271</v>
      </c>
      <c r="E2" s="42" t="s">
        <v>322</v>
      </c>
      <c r="F2" s="42" t="s">
        <v>323</v>
      </c>
    </row>
    <row r="3" customFormat="false" ht="15" hidden="false" customHeight="true" outlineLevel="0" collapsed="false">
      <c r="A3" s="42" t="s">
        <v>320</v>
      </c>
      <c r="B3" s="42" t="s">
        <v>324</v>
      </c>
      <c r="C3" s="42" t="s">
        <v>325</v>
      </c>
      <c r="D3" s="43" t="s">
        <v>271</v>
      </c>
      <c r="E3" s="42" t="s">
        <v>326</v>
      </c>
      <c r="F3" s="42" t="s">
        <v>323</v>
      </c>
    </row>
    <row r="4" customFormat="false" ht="15" hidden="false" customHeight="true" outlineLevel="0" collapsed="false">
      <c r="A4" s="42" t="s">
        <v>327</v>
      </c>
      <c r="B4" s="43" t="s">
        <v>12</v>
      </c>
      <c r="C4" s="42" t="s">
        <v>328</v>
      </c>
      <c r="D4" s="43" t="s">
        <v>271</v>
      </c>
      <c r="E4" s="43" t="s">
        <v>329</v>
      </c>
      <c r="F4" s="42" t="s">
        <v>323</v>
      </c>
    </row>
    <row r="5" customFormat="false" ht="27.75" hidden="false" customHeight="true" outlineLevel="0" collapsed="false">
      <c r="A5" s="42" t="s">
        <v>327</v>
      </c>
      <c r="B5" s="43" t="s">
        <v>330</v>
      </c>
      <c r="C5" s="42" t="s">
        <v>331</v>
      </c>
      <c r="D5" s="42" t="s">
        <v>332</v>
      </c>
      <c r="E5" s="42" t="s">
        <v>333</v>
      </c>
      <c r="F5" s="42" t="s">
        <v>323</v>
      </c>
    </row>
    <row r="6" customFormat="false" ht="15" hidden="false" customHeight="true" outlineLevel="0" collapsed="false">
      <c r="A6" s="42" t="s">
        <v>334</v>
      </c>
      <c r="B6" s="43" t="s">
        <v>12</v>
      </c>
      <c r="C6" s="42" t="s">
        <v>335</v>
      </c>
      <c r="D6" s="42" t="s">
        <v>281</v>
      </c>
      <c r="E6" s="42" t="s">
        <v>336</v>
      </c>
      <c r="F6" s="42" t="s">
        <v>323</v>
      </c>
    </row>
    <row r="7" customFormat="false" ht="15" hidden="false" customHeight="true" outlineLevel="0" collapsed="false">
      <c r="A7" s="42" t="s">
        <v>334</v>
      </c>
      <c r="B7" s="43" t="s">
        <v>275</v>
      </c>
      <c r="C7" s="43" t="s">
        <v>337</v>
      </c>
      <c r="D7" s="43" t="s">
        <v>273</v>
      </c>
      <c r="E7" s="42" t="s">
        <v>338</v>
      </c>
      <c r="F7" s="42" t="s">
        <v>323</v>
      </c>
    </row>
    <row r="8" customFormat="false" ht="15" hidden="false" customHeight="true" outlineLevel="0" collapsed="false">
      <c r="A8" s="42" t="s">
        <v>334</v>
      </c>
      <c r="B8" s="42" t="s">
        <v>339</v>
      </c>
      <c r="C8" s="42" t="s">
        <v>340</v>
      </c>
      <c r="D8" s="42" t="s">
        <v>332</v>
      </c>
      <c r="E8" s="42" t="s">
        <v>326</v>
      </c>
      <c r="F8" s="42" t="s">
        <v>323</v>
      </c>
    </row>
    <row r="9" customFormat="false" ht="15" hidden="false" customHeight="true" outlineLevel="0" collapsed="false">
      <c r="A9" s="42" t="s">
        <v>341</v>
      </c>
      <c r="B9" s="42" t="s">
        <v>342</v>
      </c>
      <c r="C9" s="43" t="s">
        <v>343</v>
      </c>
      <c r="D9" s="42" t="s">
        <v>332</v>
      </c>
      <c r="E9" s="42" t="s">
        <v>344</v>
      </c>
      <c r="F9" s="43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4" min="4" style="1" width="16"/>
    <col collapsed="false" customWidth="true" hidden="false" outlineLevel="0" max="9" min="5" style="1" width="10"/>
    <col collapsed="false" customWidth="true" hidden="false" outlineLevel="0" max="10" min="10" style="1" width="14"/>
    <col collapsed="false" customWidth="true" hidden="false" outlineLevel="0" max="11" min="11" style="1" width="24"/>
  </cols>
  <sheetData>
    <row r="1" customFormat="false" ht="27.75" hidden="false" customHeight="true" outlineLevel="0" collapsed="false">
      <c r="A1" s="10" t="s">
        <v>346</v>
      </c>
      <c r="B1" s="5" t="s">
        <v>347</v>
      </c>
      <c r="C1" s="5" t="s">
        <v>348</v>
      </c>
      <c r="D1" s="5" t="s">
        <v>349</v>
      </c>
      <c r="E1" s="5" t="s">
        <v>350</v>
      </c>
      <c r="F1" s="10" t="s">
        <v>351</v>
      </c>
      <c r="G1" s="10" t="s">
        <v>352</v>
      </c>
      <c r="H1" s="10" t="s">
        <v>353</v>
      </c>
      <c r="I1" s="5" t="s">
        <v>354</v>
      </c>
      <c r="J1" s="5" t="s">
        <v>355</v>
      </c>
      <c r="K1" s="5" t="s">
        <v>356</v>
      </c>
    </row>
    <row r="2" customFormat="false" ht="15" hidden="false" customHeight="true" outlineLevel="0" collapsed="false">
      <c r="A2" s="42" t="s">
        <v>357</v>
      </c>
      <c r="B2" s="42" t="s">
        <v>358</v>
      </c>
      <c r="C2" s="43" t="s">
        <v>359</v>
      </c>
      <c r="D2" s="42" t="s">
        <v>360</v>
      </c>
      <c r="E2" s="43"/>
      <c r="F2" s="43"/>
      <c r="G2" s="43"/>
      <c r="H2" s="43"/>
      <c r="I2" s="43" t="n">
        <v>1</v>
      </c>
      <c r="J2" s="42" t="s">
        <v>361</v>
      </c>
      <c r="K2" s="43"/>
    </row>
    <row r="3" customFormat="false" ht="27.75" hidden="false" customHeight="true" outlineLevel="0" collapsed="false">
      <c r="A3" s="42" t="s">
        <v>362</v>
      </c>
      <c r="B3" s="42" t="s">
        <v>358</v>
      </c>
      <c r="C3" s="43" t="s">
        <v>359</v>
      </c>
      <c r="D3" s="42" t="s">
        <v>360</v>
      </c>
      <c r="E3" s="43"/>
      <c r="F3" s="43"/>
      <c r="G3" s="43"/>
      <c r="H3" s="43"/>
      <c r="I3" s="43" t="n">
        <v>1</v>
      </c>
      <c r="J3" s="42" t="s">
        <v>361</v>
      </c>
      <c r="K3" s="43"/>
    </row>
    <row r="4" customFormat="false" ht="27.75" hidden="false" customHeight="true" outlineLevel="0" collapsed="false">
      <c r="A4" s="42" t="s">
        <v>363</v>
      </c>
      <c r="B4" s="42" t="s">
        <v>358</v>
      </c>
      <c r="C4" s="43" t="s">
        <v>359</v>
      </c>
      <c r="D4" s="42" t="s">
        <v>360</v>
      </c>
      <c r="E4" s="43"/>
      <c r="F4" s="43"/>
      <c r="G4" s="43"/>
      <c r="H4" s="43"/>
      <c r="I4" s="43" t="n">
        <v>1</v>
      </c>
      <c r="J4" s="42" t="s">
        <v>361</v>
      </c>
      <c r="K4" s="43"/>
    </row>
    <row r="5" customFormat="false" ht="15" hidden="false" customHeight="true" outlineLevel="0" collapsed="false">
      <c r="A5" s="42" t="s">
        <v>364</v>
      </c>
      <c r="B5" s="42" t="s">
        <v>365</v>
      </c>
      <c r="C5" s="43" t="s">
        <v>359</v>
      </c>
      <c r="D5" s="43" t="s">
        <v>366</v>
      </c>
      <c r="E5" s="43"/>
      <c r="F5" s="43"/>
      <c r="G5" s="43"/>
      <c r="H5" s="43"/>
      <c r="I5" s="43" t="n">
        <v>1</v>
      </c>
      <c r="J5" s="43" t="s">
        <v>367</v>
      </c>
      <c r="K5" s="43"/>
    </row>
    <row r="6" customFormat="false" ht="15" hidden="false" customHeight="true" outlineLevel="0" collapsed="false">
      <c r="A6" s="42" t="s">
        <v>368</v>
      </c>
      <c r="B6" s="42" t="s">
        <v>369</v>
      </c>
      <c r="C6" s="43" t="s">
        <v>359</v>
      </c>
      <c r="D6" s="43" t="s">
        <v>370</v>
      </c>
      <c r="E6" s="43"/>
      <c r="F6" s="43"/>
      <c r="G6" s="43"/>
      <c r="H6" s="43"/>
      <c r="I6" s="43" t="n">
        <v>1</v>
      </c>
      <c r="J6" s="43" t="s">
        <v>367</v>
      </c>
      <c r="K6" s="43"/>
    </row>
    <row r="7" customFormat="false" ht="15" hidden="false" customHeight="true" outlineLevel="0" collapsed="false">
      <c r="A7" s="42" t="s">
        <v>371</v>
      </c>
      <c r="B7" s="42" t="s">
        <v>372</v>
      </c>
      <c r="C7" s="43" t="s">
        <v>359</v>
      </c>
      <c r="D7" s="43" t="s">
        <v>373</v>
      </c>
      <c r="E7" s="43"/>
      <c r="F7" s="43"/>
      <c r="G7" s="43"/>
      <c r="H7" s="43"/>
      <c r="I7" s="43" t="n">
        <v>1</v>
      </c>
      <c r="J7" s="43" t="s">
        <v>367</v>
      </c>
      <c r="K7" s="43"/>
    </row>
    <row r="8" customFormat="false" ht="15" hidden="false" customHeight="true" outlineLevel="0" collapsed="false">
      <c r="A8" s="42" t="s">
        <v>374</v>
      </c>
      <c r="B8" s="42" t="s">
        <v>375</v>
      </c>
      <c r="C8" s="43" t="s">
        <v>359</v>
      </c>
      <c r="D8" s="43" t="s">
        <v>370</v>
      </c>
      <c r="E8" s="43"/>
      <c r="F8" s="43"/>
      <c r="G8" s="43"/>
      <c r="H8" s="43"/>
      <c r="I8" s="43" t="n">
        <v>1</v>
      </c>
      <c r="J8" s="43" t="s">
        <v>367</v>
      </c>
      <c r="K8" s="43"/>
    </row>
    <row r="9" customFormat="false" ht="15" hidden="false" customHeight="true" outlineLevel="0" collapsed="false">
      <c r="A9" s="42" t="s">
        <v>376</v>
      </c>
      <c r="B9" s="42" t="s">
        <v>365</v>
      </c>
      <c r="C9" s="43" t="s">
        <v>377</v>
      </c>
      <c r="D9" s="43" t="s">
        <v>378</v>
      </c>
      <c r="E9" s="43"/>
      <c r="F9" s="43"/>
      <c r="G9" s="43"/>
      <c r="H9" s="43"/>
      <c r="I9" s="43" t="n">
        <v>3</v>
      </c>
      <c r="J9" s="43" t="s">
        <v>367</v>
      </c>
      <c r="K9" s="43"/>
    </row>
    <row r="10" customFormat="false" ht="15" hidden="false" customHeight="true" outlineLevel="0" collapsed="false">
      <c r="A10" s="42" t="s">
        <v>379</v>
      </c>
      <c r="B10" s="42" t="s">
        <v>372</v>
      </c>
      <c r="C10" s="43" t="s">
        <v>377</v>
      </c>
      <c r="D10" s="43" t="s">
        <v>378</v>
      </c>
      <c r="E10" s="43"/>
      <c r="F10" s="43"/>
      <c r="G10" s="43"/>
      <c r="H10" s="43"/>
      <c r="I10" s="43" t="n">
        <v>3</v>
      </c>
      <c r="J10" s="43" t="s">
        <v>367</v>
      </c>
      <c r="K10" s="43"/>
    </row>
    <row r="11" customFormat="false" ht="27.75" hidden="false" customHeight="true" outlineLevel="0" collapsed="false">
      <c r="A11" s="42" t="s">
        <v>380</v>
      </c>
      <c r="B11" s="42" t="s">
        <v>365</v>
      </c>
      <c r="C11" s="43" t="s">
        <v>377</v>
      </c>
      <c r="D11" s="43" t="s">
        <v>381</v>
      </c>
      <c r="E11" s="43"/>
      <c r="F11" s="43"/>
      <c r="G11" s="43"/>
      <c r="H11" s="43"/>
      <c r="I11" s="43" t="n">
        <v>3</v>
      </c>
      <c r="J11" s="43" t="s">
        <v>382</v>
      </c>
      <c r="K11" s="43"/>
    </row>
    <row r="12" customFormat="false" ht="27.75" hidden="false" customHeight="true" outlineLevel="0" collapsed="false">
      <c r="A12" s="42" t="s">
        <v>383</v>
      </c>
      <c r="B12" s="42" t="s">
        <v>372</v>
      </c>
      <c r="C12" s="43" t="s">
        <v>377</v>
      </c>
      <c r="D12" s="43" t="s">
        <v>381</v>
      </c>
      <c r="E12" s="43"/>
      <c r="F12" s="43"/>
      <c r="G12" s="43"/>
      <c r="H12" s="43"/>
      <c r="I12" s="43" t="n">
        <v>3</v>
      </c>
      <c r="J12" s="43" t="s">
        <v>382</v>
      </c>
      <c r="K12" s="43"/>
    </row>
    <row r="13" customFormat="false" ht="27.75" hidden="false" customHeight="true" outlineLevel="0" collapsed="false">
      <c r="A13" s="42" t="s">
        <v>384</v>
      </c>
      <c r="B13" s="42" t="s">
        <v>365</v>
      </c>
      <c r="C13" s="43" t="s">
        <v>377</v>
      </c>
      <c r="D13" s="43" t="s">
        <v>385</v>
      </c>
      <c r="E13" s="43"/>
      <c r="F13" s="43"/>
      <c r="G13" s="43"/>
      <c r="H13" s="43"/>
      <c r="I13" s="43" t="n">
        <v>5</v>
      </c>
      <c r="J13" s="43" t="s">
        <v>382</v>
      </c>
      <c r="K13" s="43"/>
    </row>
    <row r="14" customFormat="false" ht="27.75" hidden="false" customHeight="true" outlineLevel="0" collapsed="false">
      <c r="A14" s="42" t="s">
        <v>386</v>
      </c>
      <c r="B14" s="42" t="s">
        <v>372</v>
      </c>
      <c r="C14" s="43" t="s">
        <v>377</v>
      </c>
      <c r="D14" s="43" t="s">
        <v>385</v>
      </c>
      <c r="E14" s="43"/>
      <c r="F14" s="43"/>
      <c r="G14" s="43"/>
      <c r="H14" s="43"/>
      <c r="I14" s="43" t="n">
        <v>5</v>
      </c>
      <c r="J14" s="43" t="s">
        <v>382</v>
      </c>
      <c r="K14" s="43"/>
    </row>
    <row r="15" customFormat="false" ht="15" hidden="false" customHeight="true" outlineLevel="0" collapsed="false">
      <c r="A15" s="42" t="s">
        <v>387</v>
      </c>
      <c r="B15" s="42" t="s">
        <v>388</v>
      </c>
      <c r="C15" s="43" t="s">
        <v>377</v>
      </c>
      <c r="D15" s="43" t="s">
        <v>389</v>
      </c>
      <c r="E15" s="43"/>
      <c r="F15" s="43"/>
      <c r="G15" s="43"/>
      <c r="H15" s="43"/>
      <c r="I15" s="43" t="n">
        <v>5</v>
      </c>
      <c r="J15" s="43" t="s">
        <v>367</v>
      </c>
      <c r="K15" s="43"/>
    </row>
    <row r="16" customFormat="false" ht="15" hidden="false" customHeight="true" outlineLevel="0" collapsed="false">
      <c r="A16" s="42" t="s">
        <v>390</v>
      </c>
      <c r="B16" s="42" t="s">
        <v>388</v>
      </c>
      <c r="C16" s="43" t="s">
        <v>377</v>
      </c>
      <c r="D16" s="43" t="s">
        <v>389</v>
      </c>
      <c r="E16" s="43"/>
      <c r="F16" s="43"/>
      <c r="G16" s="43"/>
      <c r="H16" s="43"/>
      <c r="I16" s="43" t="n">
        <v>5</v>
      </c>
      <c r="J16" s="43" t="s">
        <v>367</v>
      </c>
      <c r="K16" s="43"/>
    </row>
    <row r="17" customFormat="false" ht="15" hidden="false" customHeight="true" outlineLevel="0" collapsed="false">
      <c r="A17" s="42" t="s">
        <v>391</v>
      </c>
      <c r="B17" s="42" t="s">
        <v>392</v>
      </c>
      <c r="C17" s="43" t="s">
        <v>377</v>
      </c>
      <c r="D17" s="43" t="s">
        <v>393</v>
      </c>
      <c r="E17" s="43"/>
      <c r="F17" s="43"/>
      <c r="G17" s="43"/>
      <c r="H17" s="43"/>
      <c r="I17" s="43" t="n">
        <v>10</v>
      </c>
      <c r="J17" s="43" t="s">
        <v>367</v>
      </c>
      <c r="K17" s="43"/>
    </row>
    <row r="18" customFormat="false" ht="15" hidden="false" customHeight="true" outlineLevel="0" collapsed="false">
      <c r="A18" s="42" t="s">
        <v>394</v>
      </c>
      <c r="B18" s="42" t="s">
        <v>392</v>
      </c>
      <c r="C18" s="43" t="s">
        <v>377</v>
      </c>
      <c r="D18" s="43" t="s">
        <v>393</v>
      </c>
      <c r="E18" s="43"/>
      <c r="F18" s="43"/>
      <c r="G18" s="43"/>
      <c r="H18" s="43"/>
      <c r="I18" s="43" t="n">
        <v>10</v>
      </c>
      <c r="J18" s="43" t="s">
        <v>367</v>
      </c>
      <c r="K18" s="4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30"/>
  </cols>
  <sheetData>
    <row r="1" customFormat="false" ht="27.75" hidden="false" customHeight="true" outlineLevel="0" collapsed="false">
      <c r="A1" s="5" t="s">
        <v>182</v>
      </c>
      <c r="B1" s="5" t="s">
        <v>395</v>
      </c>
      <c r="C1" s="5" t="s">
        <v>396</v>
      </c>
      <c r="D1" s="5" t="s">
        <v>397</v>
      </c>
      <c r="E1" s="5" t="s">
        <v>398</v>
      </c>
      <c r="F1" s="5" t="s">
        <v>399</v>
      </c>
      <c r="G1" s="5" t="s">
        <v>400</v>
      </c>
      <c r="H1" s="5" t="s">
        <v>401</v>
      </c>
    </row>
    <row r="2" customFormat="false" ht="15" hidden="false" customHeight="true" outlineLevel="0" collapsed="false">
      <c r="A2" s="43" t="s">
        <v>2</v>
      </c>
      <c r="B2" s="43"/>
      <c r="C2" s="43"/>
      <c r="D2" s="43"/>
      <c r="E2" s="43"/>
      <c r="F2" s="43"/>
      <c r="G2" s="43"/>
      <c r="H2" s="43"/>
    </row>
    <row r="3" customFormat="false" ht="15" hidden="false" customHeight="true" outlineLevel="0" collapsed="false">
      <c r="A3" s="43" t="s">
        <v>68</v>
      </c>
      <c r="B3" s="43"/>
      <c r="C3" s="43" t="str">
        <f aca="false">IF(AND(ISNUMBER(B3),ISNUMBER(B2)),B3-B2,"")</f>
        <v/>
      </c>
      <c r="D3" s="43"/>
      <c r="E3" s="43"/>
      <c r="F3" s="43"/>
      <c r="G3" s="43" t="str">
        <f aca="false">IF(AND(ISNUMBER(F3),ISNUMBER(F2)),F3-F2,"")</f>
        <v/>
      </c>
      <c r="H3" s="43"/>
    </row>
    <row r="4" customFormat="false" ht="15" hidden="false" customHeight="true" outlineLevel="0" collapsed="false">
      <c r="A4" s="43" t="s">
        <v>69</v>
      </c>
      <c r="B4" s="43"/>
      <c r="C4" s="43" t="str">
        <f aca="false">IF(AND(ISNUMBER(B4),ISNUMBER(B3)),B4-B3,"")</f>
        <v/>
      </c>
      <c r="D4" s="43"/>
      <c r="E4" s="43"/>
      <c r="F4" s="43"/>
      <c r="G4" s="43" t="str">
        <f aca="false">IF(AND(ISNUMBER(F4),ISNUMBER(F3)),F4-F3,"")</f>
        <v/>
      </c>
      <c r="H4" s="43"/>
    </row>
    <row r="5" customFormat="false" ht="15" hidden="false" customHeight="true" outlineLevel="0" collapsed="false">
      <c r="A5" s="43" t="s">
        <v>70</v>
      </c>
      <c r="B5" s="43"/>
      <c r="C5" s="43" t="str">
        <f aca="false">IF(AND(ISNUMBER(B5),ISNUMBER(B4)),B5-B4,"")</f>
        <v/>
      </c>
      <c r="D5" s="43"/>
      <c r="E5" s="43"/>
      <c r="F5" s="43"/>
      <c r="G5" s="43" t="str">
        <f aca="false">IF(AND(ISNUMBER(F5),ISNUMBER(F4)),F5-F4,"")</f>
        <v/>
      </c>
      <c r="H5" s="43"/>
    </row>
    <row r="6" customFormat="false" ht="15" hidden="false" customHeight="true" outlineLevel="0" collapsed="false">
      <c r="A6" s="43" t="s">
        <v>71</v>
      </c>
      <c r="B6" s="43"/>
      <c r="C6" s="43" t="str">
        <f aca="false">IF(AND(ISNUMBER(B6),ISNUMBER(B5)),B6-B5,"")</f>
        <v/>
      </c>
      <c r="D6" s="43"/>
      <c r="E6" s="43"/>
      <c r="F6" s="43"/>
      <c r="G6" s="43" t="str">
        <f aca="false">IF(AND(ISNUMBER(F6),ISNUMBER(F5)),F6-F5,"")</f>
        <v/>
      </c>
      <c r="H6" s="43"/>
    </row>
    <row r="7" customFormat="false" ht="15" hidden="false" customHeight="true" outlineLevel="0" collapsed="false">
      <c r="A7" s="43" t="s">
        <v>72</v>
      </c>
      <c r="B7" s="43"/>
      <c r="C7" s="43" t="str">
        <f aca="false">IF(AND(ISNUMBER(B7),ISNUMBER(B6)),B7-B6,"")</f>
        <v/>
      </c>
      <c r="D7" s="43"/>
      <c r="E7" s="43"/>
      <c r="F7" s="43"/>
      <c r="G7" s="43" t="str">
        <f aca="false">IF(AND(ISNUMBER(F7),ISNUMBER(F6)),F7-F6,"")</f>
        <v/>
      </c>
      <c r="H7" s="43"/>
    </row>
    <row r="8" customFormat="false" ht="15" hidden="false" customHeight="true" outlineLevel="0" collapsed="false">
      <c r="A8" s="43" t="s">
        <v>73</v>
      </c>
      <c r="B8" s="43"/>
      <c r="C8" s="43" t="str">
        <f aca="false">IF(AND(ISNUMBER(B8),ISNUMBER(B7)),B8-B7,"")</f>
        <v/>
      </c>
      <c r="D8" s="43"/>
      <c r="E8" s="43"/>
      <c r="F8" s="43"/>
      <c r="G8" s="43" t="str">
        <f aca="false">IF(AND(ISNUMBER(F8),ISNUMBER(F7)),F8-F7,"")</f>
        <v/>
      </c>
      <c r="H8" s="43"/>
    </row>
    <row r="9" customFormat="false" ht="15" hidden="false" customHeight="true" outlineLevel="0" collapsed="false">
      <c r="A9" s="43" t="s">
        <v>74</v>
      </c>
      <c r="B9" s="43"/>
      <c r="C9" s="43" t="str">
        <f aca="false">IF(AND(ISNUMBER(B9),ISNUMBER(B8)),B9-B8,"")</f>
        <v/>
      </c>
      <c r="D9" s="43"/>
      <c r="E9" s="43"/>
      <c r="F9" s="43"/>
      <c r="G9" s="43" t="str">
        <f aca="false">IF(AND(ISNUMBER(F9),ISNUMBER(F8)),F9-F8,"")</f>
        <v/>
      </c>
      <c r="H9" s="43"/>
    </row>
    <row r="10" customFormat="false" ht="15" hidden="false" customHeight="true" outlineLevel="0" collapsed="false">
      <c r="A10" s="43" t="s">
        <v>75</v>
      </c>
      <c r="B10" s="43"/>
      <c r="C10" s="43" t="str">
        <f aca="false">IF(AND(ISNUMBER(B10),ISNUMBER(B9)),B10-B9,"")</f>
        <v/>
      </c>
      <c r="D10" s="43"/>
      <c r="E10" s="43"/>
      <c r="F10" s="43"/>
      <c r="G10" s="43" t="str">
        <f aca="false">IF(AND(ISNUMBER(F10),ISNUMBER(F9)),F10-F9,"")</f>
        <v/>
      </c>
      <c r="H10" s="43"/>
    </row>
    <row r="11" customFormat="false" ht="15" hidden="false" customHeight="true" outlineLevel="0" collapsed="false">
      <c r="A11" s="43" t="s">
        <v>76</v>
      </c>
      <c r="B11" s="43"/>
      <c r="C11" s="43" t="str">
        <f aca="false">IF(AND(ISNUMBER(B11),ISNUMBER(B10)),B11-B10,"")</f>
        <v/>
      </c>
      <c r="D11" s="43"/>
      <c r="E11" s="43"/>
      <c r="F11" s="43"/>
      <c r="G11" s="43" t="str">
        <f aca="false">IF(AND(ISNUMBER(F11),ISNUMBER(F10)),F11-F10,"")</f>
        <v/>
      </c>
      <c r="H11" s="43"/>
    </row>
    <row r="12" customFormat="false" ht="15" hidden="false" customHeight="true" outlineLevel="0" collapsed="false">
      <c r="A12" s="43" t="s">
        <v>77</v>
      </c>
      <c r="B12" s="43"/>
      <c r="C12" s="43" t="str">
        <f aca="false">IF(AND(ISNUMBER(B12),ISNUMBER(B11)),B12-B11,"")</f>
        <v/>
      </c>
      <c r="D12" s="43"/>
      <c r="E12" s="43"/>
      <c r="F12" s="43"/>
      <c r="G12" s="43" t="str">
        <f aca="false">IF(AND(ISNUMBER(F12),ISNUMBER(F11)),F12-F11,"")</f>
        <v/>
      </c>
      <c r="H12" s="43"/>
    </row>
    <row r="13" customFormat="false" ht="15" hidden="false" customHeight="true" outlineLevel="0" collapsed="false">
      <c r="A13" s="43" t="s">
        <v>78</v>
      </c>
      <c r="B13" s="43"/>
      <c r="C13" s="43" t="str">
        <f aca="false">IF(AND(ISNUMBER(B13),ISNUMBER(B12)),B13-B12,"")</f>
        <v/>
      </c>
      <c r="D13" s="43"/>
      <c r="E13" s="43"/>
      <c r="F13" s="43"/>
      <c r="G13" s="43" t="str">
        <f aca="false">IF(AND(ISNUMBER(F13),ISNUMBER(F12)),F13-F12,"")</f>
        <v/>
      </c>
      <c r="H13" s="43"/>
    </row>
    <row r="14" customFormat="false" ht="15" hidden="false" customHeight="true" outlineLevel="0" collapsed="false">
      <c r="A14" s="43" t="s">
        <v>79</v>
      </c>
      <c r="B14" s="43"/>
      <c r="C14" s="43" t="str">
        <f aca="false">IF(AND(ISNUMBER(B14),ISNUMBER(B13)),B14-B13,"")</f>
        <v/>
      </c>
      <c r="D14" s="43"/>
      <c r="E14" s="43"/>
      <c r="F14" s="43"/>
      <c r="G14" s="43" t="str">
        <f aca="false">IF(AND(ISNUMBER(F14),ISNUMBER(F13)),F14-F13,"")</f>
        <v/>
      </c>
      <c r="H14" s="43"/>
    </row>
    <row r="15" customFormat="false" ht="15" hidden="false" customHeight="true" outlineLevel="0" collapsed="false">
      <c r="A15" s="43" t="s">
        <v>80</v>
      </c>
      <c r="B15" s="43"/>
      <c r="C15" s="43" t="str">
        <f aca="false">IF(AND(ISNUMBER(B15),ISNUMBER(B14)),B15-B14,"")</f>
        <v/>
      </c>
      <c r="D15" s="43"/>
      <c r="E15" s="43"/>
      <c r="F15" s="43"/>
      <c r="G15" s="43" t="str">
        <f aca="false">IF(AND(ISNUMBER(F15),ISNUMBER(F14)),F15-F14,"")</f>
        <v/>
      </c>
      <c r="H15" s="43"/>
    </row>
    <row r="16" customFormat="false" ht="15" hidden="false" customHeight="true" outlineLevel="0" collapsed="false">
      <c r="A16" s="43" t="s">
        <v>81</v>
      </c>
      <c r="B16" s="43"/>
      <c r="C16" s="43" t="str">
        <f aca="false">IF(AND(ISNUMBER(B16),ISNUMBER(B15)),B16-B15,"")</f>
        <v/>
      </c>
      <c r="D16" s="43"/>
      <c r="E16" s="43"/>
      <c r="F16" s="43"/>
      <c r="G16" s="43" t="str">
        <f aca="false">IF(AND(ISNUMBER(F16),ISNUMBER(F15)),F16-F15,"")</f>
        <v/>
      </c>
      <c r="H16" s="43"/>
    </row>
    <row r="17" customFormat="false" ht="15" hidden="false" customHeight="true" outlineLevel="0" collapsed="false">
      <c r="A17" s="43" t="s">
        <v>82</v>
      </c>
      <c r="B17" s="43"/>
      <c r="C17" s="43" t="str">
        <f aca="false">IF(AND(ISNUMBER(B17),ISNUMBER(B16)),B17-B16,"")</f>
        <v/>
      </c>
      <c r="D17" s="43"/>
      <c r="E17" s="43"/>
      <c r="F17" s="43"/>
      <c r="G17" s="43" t="str">
        <f aca="false">IF(AND(ISNUMBER(F17),ISNUMBER(F16)),F17-F16,"")</f>
        <v/>
      </c>
      <c r="H17" s="43"/>
    </row>
    <row r="18" customFormat="false" ht="15" hidden="false" customHeight="true" outlineLevel="0" collapsed="false">
      <c r="A18" s="43" t="s">
        <v>83</v>
      </c>
      <c r="B18" s="43"/>
      <c r="C18" s="43" t="str">
        <f aca="false">IF(AND(ISNUMBER(B18),ISNUMBER(B17)),B18-B17,"")</f>
        <v/>
      </c>
      <c r="D18" s="43"/>
      <c r="E18" s="43"/>
      <c r="F18" s="43"/>
      <c r="G18" s="43" t="str">
        <f aca="false">IF(AND(ISNUMBER(F18),ISNUMBER(F17)),F18-F17,"")</f>
        <v/>
      </c>
      <c r="H18" s="43"/>
    </row>
    <row r="19" customFormat="false" ht="15" hidden="false" customHeight="true" outlineLevel="0" collapsed="false">
      <c r="A19" s="43" t="s">
        <v>84</v>
      </c>
      <c r="B19" s="43"/>
      <c r="C19" s="43" t="str">
        <f aca="false">IF(AND(ISNUMBER(B19),ISNUMBER(B18)),B19-B18,"")</f>
        <v/>
      </c>
      <c r="D19" s="43"/>
      <c r="E19" s="43"/>
      <c r="F19" s="43"/>
      <c r="G19" s="43" t="str">
        <f aca="false">IF(AND(ISNUMBER(F19),ISNUMBER(F18)),F19-F18,"")</f>
        <v/>
      </c>
      <c r="H19" s="43"/>
    </row>
    <row r="20" customFormat="false" ht="15" hidden="false" customHeight="true" outlineLevel="0" collapsed="false">
      <c r="A20" s="43" t="s">
        <v>85</v>
      </c>
      <c r="B20" s="43"/>
      <c r="C20" s="43" t="str">
        <f aca="false">IF(AND(ISNUMBER(B20),ISNUMBER(B19)),B20-B19,"")</f>
        <v/>
      </c>
      <c r="D20" s="43"/>
      <c r="E20" s="43"/>
      <c r="F20" s="43"/>
      <c r="G20" s="43" t="str">
        <f aca="false">IF(AND(ISNUMBER(F20),ISNUMBER(F19)),F20-F19,"")</f>
        <v/>
      </c>
      <c r="H20" s="43"/>
    </row>
    <row r="21" customFormat="false" ht="15" hidden="false" customHeight="true" outlineLevel="0" collapsed="false">
      <c r="A21" s="43" t="s">
        <v>86</v>
      </c>
      <c r="B21" s="43"/>
      <c r="C21" s="43" t="str">
        <f aca="false">IF(AND(ISNUMBER(B21),ISNUMBER(B20)),B21-B20,"")</f>
        <v/>
      </c>
      <c r="D21" s="43"/>
      <c r="E21" s="43"/>
      <c r="F21" s="43"/>
      <c r="G21" s="43" t="str">
        <f aca="false">IF(AND(ISNUMBER(F21),ISNUMBER(F20)),F21-F20,"")</f>
        <v/>
      </c>
      <c r="H21" s="43"/>
    </row>
    <row r="22" customFormat="false" ht="15" hidden="false" customHeight="true" outlineLevel="0" collapsed="false">
      <c r="A22" s="43" t="s">
        <v>87</v>
      </c>
      <c r="B22" s="43"/>
      <c r="C22" s="43" t="str">
        <f aca="false">IF(AND(ISNUMBER(B22),ISNUMBER(B21)),B22-B21,"")</f>
        <v/>
      </c>
      <c r="D22" s="43"/>
      <c r="E22" s="43"/>
      <c r="F22" s="43"/>
      <c r="G22" s="43" t="str">
        <f aca="false">IF(AND(ISNUMBER(F22),ISNUMBER(F21)),F22-F21,"")</f>
        <v/>
      </c>
      <c r="H22" s="43"/>
    </row>
    <row r="23" customFormat="false" ht="15" hidden="false" customHeight="true" outlineLevel="0" collapsed="false">
      <c r="A23" s="43" t="s">
        <v>88</v>
      </c>
      <c r="B23" s="43"/>
      <c r="C23" s="43" t="str">
        <f aca="false">IF(AND(ISNUMBER(B23),ISNUMBER(B22)),B23-B22,"")</f>
        <v/>
      </c>
      <c r="D23" s="43"/>
      <c r="E23" s="43"/>
      <c r="F23" s="43"/>
      <c r="G23" s="43" t="str">
        <f aca="false">IF(AND(ISNUMBER(F23),ISNUMBER(F22)),F23-F22,"")</f>
        <v/>
      </c>
      <c r="H23" s="43"/>
    </row>
    <row r="24" customFormat="false" ht="15" hidden="false" customHeight="true" outlineLevel="0" collapsed="false">
      <c r="A24" s="43" t="s">
        <v>89</v>
      </c>
      <c r="B24" s="43"/>
      <c r="C24" s="43" t="str">
        <f aca="false">IF(AND(ISNUMBER(B24),ISNUMBER(B23)),B24-B23,"")</f>
        <v/>
      </c>
      <c r="D24" s="43"/>
      <c r="E24" s="43"/>
      <c r="F24" s="43"/>
      <c r="G24" s="43" t="str">
        <f aca="false">IF(AND(ISNUMBER(F24),ISNUMBER(F23)),F24-F23,"")</f>
        <v/>
      </c>
      <c r="H24" s="43"/>
    </row>
    <row r="25" customFormat="false" ht="15" hidden="false" customHeight="true" outlineLevel="0" collapsed="false">
      <c r="A25" s="43" t="s">
        <v>90</v>
      </c>
      <c r="B25" s="43"/>
      <c r="C25" s="43" t="str">
        <f aca="false">IF(AND(ISNUMBER(B25),ISNUMBER(B24)),B25-B24,"")</f>
        <v/>
      </c>
      <c r="D25" s="43"/>
      <c r="E25" s="43"/>
      <c r="F25" s="43"/>
      <c r="G25" s="43" t="str">
        <f aca="false">IF(AND(ISNUMBER(F25),ISNUMBER(F24)),F25-F24,"")</f>
        <v/>
      </c>
      <c r="H25" s="43"/>
    </row>
    <row r="26" customFormat="false" ht="15" hidden="false" customHeight="true" outlineLevel="0" collapsed="false">
      <c r="A26" s="43" t="s">
        <v>91</v>
      </c>
      <c r="B26" s="43"/>
      <c r="C26" s="43" t="str">
        <f aca="false">IF(AND(ISNUMBER(B26),ISNUMBER(B25)),B26-B25,"")</f>
        <v/>
      </c>
      <c r="D26" s="43"/>
      <c r="E26" s="43"/>
      <c r="F26" s="43"/>
      <c r="G26" s="43" t="str">
        <f aca="false">IF(AND(ISNUMBER(F26),ISNUMBER(F25)),F26-F25,"")</f>
        <v/>
      </c>
      <c r="H26" s="43"/>
    </row>
    <row r="27" customFormat="false" ht="15" hidden="false" customHeight="true" outlineLevel="0" collapsed="false">
      <c r="A27" s="43" t="s">
        <v>92</v>
      </c>
      <c r="B27" s="43"/>
      <c r="C27" s="43" t="str">
        <f aca="false">IF(AND(ISNUMBER(B27),ISNUMBER(B26)),B27-B26,"")</f>
        <v/>
      </c>
      <c r="D27" s="43"/>
      <c r="E27" s="43"/>
      <c r="F27" s="43"/>
      <c r="G27" s="43" t="str">
        <f aca="false">IF(AND(ISNUMBER(F27),ISNUMBER(F26)),F27-F26,"")</f>
        <v/>
      </c>
      <c r="H27" s="43"/>
    </row>
    <row r="28" customFormat="false" ht="15" hidden="false" customHeight="true" outlineLevel="0" collapsed="false">
      <c r="A28" s="43" t="s">
        <v>93</v>
      </c>
      <c r="B28" s="43"/>
      <c r="C28" s="43" t="str">
        <f aca="false">IF(AND(ISNUMBER(B28),ISNUMBER(B27)),B28-B27,"")</f>
        <v/>
      </c>
      <c r="D28" s="43"/>
      <c r="E28" s="43"/>
      <c r="F28" s="43"/>
      <c r="G28" s="43" t="str">
        <f aca="false">IF(AND(ISNUMBER(F28),ISNUMBER(F27)),F28-F27,"")</f>
        <v/>
      </c>
      <c r="H28" s="43"/>
    </row>
    <row r="29" customFormat="false" ht="15" hidden="false" customHeight="true" outlineLevel="0" collapsed="false">
      <c r="A29" s="43" t="s">
        <v>94</v>
      </c>
      <c r="B29" s="43"/>
      <c r="C29" s="43" t="str">
        <f aca="false">IF(AND(ISNUMBER(B29),ISNUMBER(B28)),B29-B28,"")</f>
        <v/>
      </c>
      <c r="D29" s="43"/>
      <c r="E29" s="43"/>
      <c r="F29" s="43"/>
      <c r="G29" s="43" t="str">
        <f aca="false">IF(AND(ISNUMBER(F29),ISNUMBER(F28)),F29-F28,"")</f>
        <v/>
      </c>
      <c r="H29" s="43"/>
    </row>
    <row r="30" customFormat="false" ht="15" hidden="false" customHeight="true" outlineLevel="0" collapsed="false">
      <c r="A30" s="43" t="s">
        <v>95</v>
      </c>
      <c r="B30" s="43"/>
      <c r="C30" s="43" t="str">
        <f aca="false">IF(AND(ISNUMBER(B30),ISNUMBER(B29)),B30-B29,"")</f>
        <v/>
      </c>
      <c r="D30" s="43"/>
      <c r="E30" s="43"/>
      <c r="F30" s="43"/>
      <c r="G30" s="43" t="str">
        <f aca="false">IF(AND(ISNUMBER(F30),ISNUMBER(F29)),F30-F29,"")</f>
        <v/>
      </c>
      <c r="H30" s="43"/>
    </row>
    <row r="31" customFormat="false" ht="15" hidden="false" customHeight="true" outlineLevel="0" collapsed="false">
      <c r="A31" s="43" t="s">
        <v>96</v>
      </c>
      <c r="B31" s="43"/>
      <c r="C31" s="43" t="str">
        <f aca="false">IF(AND(ISNUMBER(B31),ISNUMBER(B30)),B31-B30,"")</f>
        <v/>
      </c>
      <c r="D31" s="43"/>
      <c r="E31" s="43"/>
      <c r="F31" s="43"/>
      <c r="G31" s="43" t="str">
        <f aca="false">IF(AND(ISNUMBER(F31),ISNUMBER(F30)),F31-F30,"")</f>
        <v/>
      </c>
      <c r="H31" s="43"/>
    </row>
    <row r="32" customFormat="false" ht="15" hidden="false" customHeight="true" outlineLevel="0" collapsed="false">
      <c r="A32" s="43" t="s">
        <v>97</v>
      </c>
      <c r="B32" s="43"/>
      <c r="C32" s="43" t="str">
        <f aca="false">IF(AND(ISNUMBER(B32),ISNUMBER(B31)),B32-B31,"")</f>
        <v/>
      </c>
      <c r="D32" s="43"/>
      <c r="E32" s="43"/>
      <c r="F32" s="43"/>
      <c r="G32" s="43" t="str">
        <f aca="false">IF(AND(ISNUMBER(F32),ISNUMBER(F31)),F32-F31,"")</f>
        <v/>
      </c>
      <c r="H32" s="43"/>
    </row>
    <row r="33" customFormat="false" ht="15" hidden="false" customHeight="true" outlineLevel="0" collapsed="false">
      <c r="A33" s="43" t="s">
        <v>98</v>
      </c>
      <c r="B33" s="43"/>
      <c r="C33" s="43" t="str">
        <f aca="false">IF(AND(ISNUMBER(B33),ISNUMBER(B32)),B33-B32,"")</f>
        <v/>
      </c>
      <c r="D33" s="43"/>
      <c r="E33" s="43"/>
      <c r="F33" s="43"/>
      <c r="G33" s="43" t="str">
        <f aca="false">IF(AND(ISNUMBER(F33),ISNUMBER(F32)),F33-F32,"")</f>
        <v/>
      </c>
      <c r="H33" s="43"/>
    </row>
    <row r="34" customFormat="false" ht="15" hidden="false" customHeight="true" outlineLevel="0" collapsed="false">
      <c r="A34" s="43" t="s">
        <v>99</v>
      </c>
      <c r="B34" s="43"/>
      <c r="C34" s="43" t="str">
        <f aca="false">IF(AND(ISNUMBER(B34),ISNUMBER(B33)),B34-B33,"")</f>
        <v/>
      </c>
      <c r="D34" s="43"/>
      <c r="E34" s="43"/>
      <c r="F34" s="43"/>
      <c r="G34" s="43" t="str">
        <f aca="false">IF(AND(ISNUMBER(F34),ISNUMBER(F33)),F34-F33,"")</f>
        <v/>
      </c>
      <c r="H34" s="43"/>
    </row>
    <row r="35" customFormat="false" ht="15" hidden="false" customHeight="true" outlineLevel="0" collapsed="false">
      <c r="A35" s="43" t="s">
        <v>100</v>
      </c>
      <c r="B35" s="43"/>
      <c r="C35" s="43" t="str">
        <f aca="false">IF(AND(ISNUMBER(B35),ISNUMBER(B34)),B35-B34,"")</f>
        <v/>
      </c>
      <c r="D35" s="43"/>
      <c r="E35" s="43"/>
      <c r="F35" s="43"/>
      <c r="G35" s="43" t="str">
        <f aca="false">IF(AND(ISNUMBER(F35),ISNUMBER(F34)),F35-F34,"")</f>
        <v/>
      </c>
      <c r="H35" s="43"/>
    </row>
    <row r="36" customFormat="false" ht="15" hidden="false" customHeight="true" outlineLevel="0" collapsed="false">
      <c r="A36" s="43" t="s">
        <v>101</v>
      </c>
      <c r="B36" s="43"/>
      <c r="C36" s="43" t="str">
        <f aca="false">IF(AND(ISNUMBER(B36),ISNUMBER(B35)),B36-B35,"")</f>
        <v/>
      </c>
      <c r="D36" s="43"/>
      <c r="E36" s="43"/>
      <c r="F36" s="43"/>
      <c r="G36" s="43" t="str">
        <f aca="false">IF(AND(ISNUMBER(F36),ISNUMBER(F35)),F36-F35,"")</f>
        <v/>
      </c>
      <c r="H36" s="43"/>
    </row>
    <row r="37" customFormat="false" ht="15" hidden="false" customHeight="true" outlineLevel="0" collapsed="false">
      <c r="A37" s="43" t="s">
        <v>102</v>
      </c>
      <c r="B37" s="43"/>
      <c r="C37" s="43" t="str">
        <f aca="false">IF(AND(ISNUMBER(B37),ISNUMBER(B36)),B37-B36,"")</f>
        <v/>
      </c>
      <c r="D37" s="43"/>
      <c r="E37" s="43"/>
      <c r="F37" s="43"/>
      <c r="G37" s="43" t="str">
        <f aca="false">IF(AND(ISNUMBER(F37),ISNUMBER(F36)),F37-F36,"")</f>
        <v/>
      </c>
      <c r="H37" s="43"/>
    </row>
    <row r="38" customFormat="false" ht="15" hidden="false" customHeight="true" outlineLevel="0" collapsed="false">
      <c r="A38" s="43" t="s">
        <v>103</v>
      </c>
      <c r="B38" s="43"/>
      <c r="C38" s="43" t="str">
        <f aca="false">IF(AND(ISNUMBER(B38),ISNUMBER(B37)),B38-B37,"")</f>
        <v/>
      </c>
      <c r="D38" s="43"/>
      <c r="E38" s="43"/>
      <c r="F38" s="43"/>
      <c r="G38" s="43" t="str">
        <f aca="false">IF(AND(ISNUMBER(F38),ISNUMBER(F37)),F38-F37,"")</f>
        <v/>
      </c>
      <c r="H38" s="43"/>
    </row>
    <row r="39" customFormat="false" ht="15" hidden="false" customHeight="true" outlineLevel="0" collapsed="false">
      <c r="A39" s="43" t="s">
        <v>104</v>
      </c>
      <c r="B39" s="43"/>
      <c r="C39" s="43" t="str">
        <f aca="false">IF(AND(ISNUMBER(B39),ISNUMBER(B38)),B39-B38,"")</f>
        <v/>
      </c>
      <c r="D39" s="43"/>
      <c r="E39" s="43"/>
      <c r="F39" s="43"/>
      <c r="G39" s="43" t="str">
        <f aca="false">IF(AND(ISNUMBER(F39),ISNUMBER(F38)),F39-F38,"")</f>
        <v/>
      </c>
      <c r="H39" s="43"/>
    </row>
    <row r="40" customFormat="false" ht="15" hidden="false" customHeight="true" outlineLevel="0" collapsed="false">
      <c r="A40" s="43" t="s">
        <v>105</v>
      </c>
      <c r="B40" s="43"/>
      <c r="C40" s="43" t="str">
        <f aca="false">IF(AND(ISNUMBER(B40),ISNUMBER(B39)),B40-B39,"")</f>
        <v/>
      </c>
      <c r="D40" s="43"/>
      <c r="E40" s="43"/>
      <c r="F40" s="43"/>
      <c r="G40" s="43" t="str">
        <f aca="false">IF(AND(ISNUMBER(F40),ISNUMBER(F39)),F40-F39,"")</f>
        <v/>
      </c>
      <c r="H40" s="43"/>
    </row>
    <row r="41" customFormat="false" ht="15" hidden="false" customHeight="true" outlineLevel="0" collapsed="false">
      <c r="A41" s="43" t="s">
        <v>106</v>
      </c>
      <c r="B41" s="43"/>
      <c r="C41" s="43" t="str">
        <f aca="false">IF(AND(ISNUMBER(B41),ISNUMBER(B40)),B41-B40,"")</f>
        <v/>
      </c>
      <c r="D41" s="43"/>
      <c r="E41" s="43"/>
      <c r="F41" s="43"/>
      <c r="G41" s="43" t="str">
        <f aca="false">IF(AND(ISNUMBER(F41),ISNUMBER(F40)),F41-F40,"")</f>
        <v/>
      </c>
      <c r="H41" s="43"/>
    </row>
    <row r="42" customFormat="false" ht="15" hidden="false" customHeight="true" outlineLevel="0" collapsed="false">
      <c r="A42" s="43" t="s">
        <v>107</v>
      </c>
      <c r="B42" s="43"/>
      <c r="C42" s="43" t="str">
        <f aca="false">IF(AND(ISNUMBER(B42),ISNUMBER(B41)),B42-B41,"")</f>
        <v/>
      </c>
      <c r="D42" s="43"/>
      <c r="E42" s="43"/>
      <c r="F42" s="43"/>
      <c r="G42" s="43" t="str">
        <f aca="false">IF(AND(ISNUMBER(F42),ISNUMBER(F41)),F42-F41,"")</f>
        <v/>
      </c>
      <c r="H42" s="43"/>
    </row>
    <row r="43" customFormat="false" ht="15" hidden="false" customHeight="true" outlineLevel="0" collapsed="false">
      <c r="A43" s="43" t="s">
        <v>108</v>
      </c>
      <c r="B43" s="43"/>
      <c r="C43" s="43" t="str">
        <f aca="false">IF(AND(ISNUMBER(B43),ISNUMBER(B42)),B43-B42,"")</f>
        <v/>
      </c>
      <c r="D43" s="43"/>
      <c r="E43" s="43"/>
      <c r="F43" s="43"/>
      <c r="G43" s="43" t="str">
        <f aca="false">IF(AND(ISNUMBER(F43),ISNUMBER(F42)),F43-F42,"")</f>
        <v/>
      </c>
      <c r="H43" s="43"/>
    </row>
    <row r="44" customFormat="false" ht="15" hidden="false" customHeight="true" outlineLevel="0" collapsed="false">
      <c r="A44" s="43" t="s">
        <v>109</v>
      </c>
      <c r="B44" s="43"/>
      <c r="C44" s="43" t="str">
        <f aca="false">IF(AND(ISNUMBER(B44),ISNUMBER(B43)),B44-B43,"")</f>
        <v/>
      </c>
      <c r="D44" s="43"/>
      <c r="E44" s="43"/>
      <c r="F44" s="43"/>
      <c r="G44" s="43" t="str">
        <f aca="false">IF(AND(ISNUMBER(F44),ISNUMBER(F43)),F44-F43,"")</f>
        <v/>
      </c>
      <c r="H44" s="43"/>
    </row>
    <row r="45" customFormat="false" ht="15" hidden="false" customHeight="true" outlineLevel="0" collapsed="false">
      <c r="A45" s="43" t="s">
        <v>110</v>
      </c>
      <c r="B45" s="43"/>
      <c r="C45" s="43" t="str">
        <f aca="false">IF(AND(ISNUMBER(B45),ISNUMBER(B44)),B45-B44,"")</f>
        <v/>
      </c>
      <c r="D45" s="43"/>
      <c r="E45" s="43"/>
      <c r="F45" s="43"/>
      <c r="G45" s="43" t="str">
        <f aca="false">IF(AND(ISNUMBER(F45),ISNUMBER(F44)),F45-F44,"")</f>
        <v/>
      </c>
      <c r="H45" s="43"/>
    </row>
    <row r="46" customFormat="false" ht="15" hidden="false" customHeight="true" outlineLevel="0" collapsed="false">
      <c r="A46" s="43" t="s">
        <v>111</v>
      </c>
      <c r="B46" s="43"/>
      <c r="C46" s="43" t="str">
        <f aca="false">IF(AND(ISNUMBER(B46),ISNUMBER(B45)),B46-B45,"")</f>
        <v/>
      </c>
      <c r="D46" s="43"/>
      <c r="E46" s="43"/>
      <c r="F46" s="43"/>
      <c r="G46" s="43" t="str">
        <f aca="false">IF(AND(ISNUMBER(F46),ISNUMBER(F45)),F46-F45,"")</f>
        <v/>
      </c>
      <c r="H46" s="43"/>
    </row>
    <row r="47" customFormat="false" ht="15" hidden="false" customHeight="true" outlineLevel="0" collapsed="false">
      <c r="A47" s="43" t="s">
        <v>112</v>
      </c>
      <c r="B47" s="43"/>
      <c r="C47" s="43" t="str">
        <f aca="false">IF(AND(ISNUMBER(B47),ISNUMBER(B46)),B47-B46,"")</f>
        <v/>
      </c>
      <c r="D47" s="43"/>
      <c r="E47" s="43"/>
      <c r="F47" s="43"/>
      <c r="G47" s="43" t="str">
        <f aca="false">IF(AND(ISNUMBER(F47),ISNUMBER(F46)),F47-F46,"")</f>
        <v/>
      </c>
      <c r="H47" s="43"/>
    </row>
    <row r="48" customFormat="false" ht="15" hidden="false" customHeight="true" outlineLevel="0" collapsed="false">
      <c r="A48" s="43" t="s">
        <v>113</v>
      </c>
      <c r="B48" s="43"/>
      <c r="C48" s="43" t="str">
        <f aca="false">IF(AND(ISNUMBER(B48),ISNUMBER(B47)),B48-B47,"")</f>
        <v/>
      </c>
      <c r="D48" s="43"/>
      <c r="E48" s="43"/>
      <c r="F48" s="43"/>
      <c r="G48" s="43" t="str">
        <f aca="false">IF(AND(ISNUMBER(F48),ISNUMBER(F47)),F48-F47,"")</f>
        <v/>
      </c>
      <c r="H48" s="43"/>
    </row>
    <row r="49" customFormat="false" ht="15" hidden="false" customHeight="true" outlineLevel="0" collapsed="false">
      <c r="A49" s="43" t="s">
        <v>114</v>
      </c>
      <c r="B49" s="43"/>
      <c r="C49" s="43" t="str">
        <f aca="false">IF(AND(ISNUMBER(B49),ISNUMBER(B48)),B49-B48,"")</f>
        <v/>
      </c>
      <c r="D49" s="43"/>
      <c r="E49" s="43"/>
      <c r="F49" s="43"/>
      <c r="G49" s="43" t="str">
        <f aca="false">IF(AND(ISNUMBER(F49),ISNUMBER(F48)),F49-F48,"")</f>
        <v/>
      </c>
      <c r="H49" s="43"/>
    </row>
    <row r="50" customFormat="false" ht="15" hidden="false" customHeight="true" outlineLevel="0" collapsed="false">
      <c r="A50" s="43" t="s">
        <v>115</v>
      </c>
      <c r="B50" s="43"/>
      <c r="C50" s="43" t="str">
        <f aca="false">IF(AND(ISNUMBER(B50),ISNUMBER(B49)),B50-B49,"")</f>
        <v/>
      </c>
      <c r="D50" s="43"/>
      <c r="E50" s="43"/>
      <c r="F50" s="43"/>
      <c r="G50" s="43" t="str">
        <f aca="false">IF(AND(ISNUMBER(F50),ISNUMBER(F49)),F50-F49,"")</f>
        <v/>
      </c>
      <c r="H50" s="43"/>
    </row>
    <row r="51" customFormat="false" ht="15" hidden="false" customHeight="true" outlineLevel="0" collapsed="false">
      <c r="A51" s="43" t="s">
        <v>116</v>
      </c>
      <c r="B51" s="43"/>
      <c r="C51" s="43" t="str">
        <f aca="false">IF(AND(ISNUMBER(B51),ISNUMBER(B50)),B51-B50,"")</f>
        <v/>
      </c>
      <c r="D51" s="43"/>
      <c r="E51" s="43"/>
      <c r="F51" s="43"/>
      <c r="G51" s="43" t="str">
        <f aca="false">IF(AND(ISNUMBER(F51),ISNUMBER(F50)),F51-F50,"")</f>
        <v/>
      </c>
      <c r="H51" s="43"/>
    </row>
    <row r="52" customFormat="false" ht="15" hidden="false" customHeight="true" outlineLevel="0" collapsed="false">
      <c r="A52" s="43" t="s">
        <v>117</v>
      </c>
      <c r="B52" s="43"/>
      <c r="C52" s="43" t="str">
        <f aca="false">IF(AND(ISNUMBER(B52),ISNUMBER(B51)),B52-B51,"")</f>
        <v/>
      </c>
      <c r="D52" s="43"/>
      <c r="E52" s="43"/>
      <c r="F52" s="43"/>
      <c r="G52" s="43" t="str">
        <f aca="false">IF(AND(ISNUMBER(F52),ISNUMBER(F51)),F52-F51,"")</f>
        <v/>
      </c>
      <c r="H52" s="43"/>
    </row>
    <row r="53" customFormat="false" ht="15" hidden="false" customHeight="true" outlineLevel="0" collapsed="false">
      <c r="A53" s="43" t="s">
        <v>118</v>
      </c>
      <c r="B53" s="43"/>
      <c r="C53" s="43" t="str">
        <f aca="false">IF(AND(ISNUMBER(B53),ISNUMBER(B52)),B53-B52,"")</f>
        <v/>
      </c>
      <c r="D53" s="43"/>
      <c r="E53" s="43"/>
      <c r="F53" s="43"/>
      <c r="G53" s="43" t="str">
        <f aca="false">IF(AND(ISNUMBER(F53),ISNUMBER(F52)),F53-F52,"")</f>
        <v/>
      </c>
      <c r="H53" s="43"/>
    </row>
    <row r="54" customFormat="false" ht="15" hidden="false" customHeight="true" outlineLevel="0" collapsed="false">
      <c r="A54" s="43" t="s">
        <v>119</v>
      </c>
      <c r="B54" s="43"/>
      <c r="C54" s="43" t="str">
        <f aca="false">IF(AND(ISNUMBER(B54),ISNUMBER(B53)),B54-B53,"")</f>
        <v/>
      </c>
      <c r="D54" s="43"/>
      <c r="E54" s="43"/>
      <c r="F54" s="43"/>
      <c r="G54" s="43" t="str">
        <f aca="false">IF(AND(ISNUMBER(F54),ISNUMBER(F53)),F54-F53,"")</f>
        <v/>
      </c>
      <c r="H54" s="43"/>
    </row>
    <row r="55" customFormat="false" ht="15" hidden="false" customHeight="true" outlineLevel="0" collapsed="false">
      <c r="A55" s="43" t="s">
        <v>120</v>
      </c>
      <c r="B55" s="43"/>
      <c r="C55" s="43" t="str">
        <f aca="false">IF(AND(ISNUMBER(B55),ISNUMBER(B54)),B55-B54,"")</f>
        <v/>
      </c>
      <c r="D55" s="43"/>
      <c r="E55" s="43"/>
      <c r="F55" s="43"/>
      <c r="G55" s="43" t="str">
        <f aca="false">IF(AND(ISNUMBER(F55),ISNUMBER(F54)),F55-F54,"")</f>
        <v/>
      </c>
      <c r="H55" s="43"/>
    </row>
    <row r="56" customFormat="false" ht="15" hidden="false" customHeight="true" outlineLevel="0" collapsed="false">
      <c r="A56" s="43" t="s">
        <v>121</v>
      </c>
      <c r="B56" s="43"/>
      <c r="C56" s="43" t="str">
        <f aca="false">IF(AND(ISNUMBER(B56),ISNUMBER(B55)),B56-B55,"")</f>
        <v/>
      </c>
      <c r="D56" s="43"/>
      <c r="E56" s="43"/>
      <c r="F56" s="43"/>
      <c r="G56" s="43" t="str">
        <f aca="false">IF(AND(ISNUMBER(F56),ISNUMBER(F55)),F56-F55,"")</f>
        <v/>
      </c>
      <c r="H56" s="43"/>
    </row>
    <row r="57" customFormat="false" ht="15" hidden="false" customHeight="true" outlineLevel="0" collapsed="false">
      <c r="A57" s="43" t="s">
        <v>122</v>
      </c>
      <c r="B57" s="43"/>
      <c r="C57" s="43" t="str">
        <f aca="false">IF(AND(ISNUMBER(B57),ISNUMBER(B56)),B57-B56,"")</f>
        <v/>
      </c>
      <c r="D57" s="43"/>
      <c r="E57" s="43"/>
      <c r="F57" s="43"/>
      <c r="G57" s="43" t="str">
        <f aca="false">IF(AND(ISNUMBER(F57),ISNUMBER(F56)),F57-F56,"")</f>
        <v/>
      </c>
      <c r="H57" s="43"/>
    </row>
    <row r="58" customFormat="false" ht="15" hidden="false" customHeight="true" outlineLevel="0" collapsed="false">
      <c r="A58" s="43" t="s">
        <v>123</v>
      </c>
      <c r="B58" s="43"/>
      <c r="C58" s="43" t="str">
        <f aca="false">IF(AND(ISNUMBER(B58),ISNUMBER(B57)),B58-B57,"")</f>
        <v/>
      </c>
      <c r="D58" s="43"/>
      <c r="E58" s="43"/>
      <c r="F58" s="43"/>
      <c r="G58" s="43" t="str">
        <f aca="false">IF(AND(ISNUMBER(F58),ISNUMBER(F57)),F58-F57,"")</f>
        <v/>
      </c>
      <c r="H58" s="43"/>
    </row>
    <row r="59" customFormat="false" ht="15" hidden="false" customHeight="true" outlineLevel="0" collapsed="false">
      <c r="A59" s="43" t="s">
        <v>124</v>
      </c>
      <c r="B59" s="43"/>
      <c r="C59" s="43" t="str">
        <f aca="false">IF(AND(ISNUMBER(B59),ISNUMBER(B58)),B59-B58,"")</f>
        <v/>
      </c>
      <c r="D59" s="43"/>
      <c r="E59" s="43"/>
      <c r="F59" s="43"/>
      <c r="G59" s="43" t="str">
        <f aca="false">IF(AND(ISNUMBER(F59),ISNUMBER(F58)),F59-F58,"")</f>
        <v/>
      </c>
      <c r="H59" s="43"/>
    </row>
    <row r="60" customFormat="false" ht="15" hidden="false" customHeight="true" outlineLevel="0" collapsed="false">
      <c r="A60" s="43" t="s">
        <v>125</v>
      </c>
      <c r="B60" s="43"/>
      <c r="C60" s="43" t="str">
        <f aca="false">IF(AND(ISNUMBER(B60),ISNUMBER(B59)),B60-B59,"")</f>
        <v/>
      </c>
      <c r="D60" s="43"/>
      <c r="E60" s="43"/>
      <c r="F60" s="43"/>
      <c r="G60" s="43" t="str">
        <f aca="false">IF(AND(ISNUMBER(F60),ISNUMBER(F59)),F60-F59,"")</f>
        <v/>
      </c>
      <c r="H60" s="43"/>
    </row>
    <row r="61" customFormat="false" ht="15" hidden="false" customHeight="true" outlineLevel="0" collapsed="false">
      <c r="A61" s="43" t="s">
        <v>126</v>
      </c>
      <c r="B61" s="43"/>
      <c r="C61" s="43" t="str">
        <f aca="false">IF(AND(ISNUMBER(B61),ISNUMBER(B60)),B61-B60,"")</f>
        <v/>
      </c>
      <c r="D61" s="43"/>
      <c r="E61" s="43"/>
      <c r="F61" s="43"/>
      <c r="G61" s="43" t="str">
        <f aca="false">IF(AND(ISNUMBER(F61),ISNUMBER(F60)),F61-F60,"")</f>
        <v/>
      </c>
      <c r="H61" s="4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40"/>
    <col collapsed="false" customWidth="true" hidden="false" outlineLevel="0" max="5" min="5" style="1" width="20"/>
    <col collapsed="false" customWidth="true" hidden="false" outlineLevel="0" max="6" min="6" style="1" width="12"/>
  </cols>
  <sheetData>
    <row r="1" customFormat="false" ht="15" hidden="false" customHeight="true" outlineLevel="0" collapsed="false">
      <c r="A1" s="5" t="s">
        <v>49</v>
      </c>
      <c r="B1" s="5" t="s">
        <v>402</v>
      </c>
      <c r="C1" s="5" t="s">
        <v>403</v>
      </c>
      <c r="D1" s="5" t="s">
        <v>404</v>
      </c>
      <c r="E1" s="10" t="s">
        <v>405</v>
      </c>
      <c r="F1" s="5" t="s">
        <v>406</v>
      </c>
    </row>
    <row r="2" customFormat="false" ht="27.75" hidden="false" customHeight="true" outlineLevel="0" collapsed="false">
      <c r="A2" s="42" t="s">
        <v>165</v>
      </c>
      <c r="B2" s="43" t="s">
        <v>407</v>
      </c>
      <c r="C2" s="42" t="s">
        <v>408</v>
      </c>
      <c r="D2" s="42" t="s">
        <v>409</v>
      </c>
      <c r="E2" s="42" t="s">
        <v>410</v>
      </c>
      <c r="F2" s="42" t="s">
        <v>411</v>
      </c>
    </row>
    <row r="3" customFormat="false" ht="27.75" hidden="false" customHeight="true" outlineLevel="0" collapsed="false">
      <c r="A3" s="42" t="s">
        <v>167</v>
      </c>
      <c r="B3" s="43" t="s">
        <v>412</v>
      </c>
      <c r="C3" s="42" t="s">
        <v>413</v>
      </c>
      <c r="D3" s="42" t="s">
        <v>414</v>
      </c>
      <c r="E3" s="42" t="s">
        <v>415</v>
      </c>
      <c r="F3" s="42" t="s">
        <v>416</v>
      </c>
    </row>
    <row r="4" customFormat="false" ht="27.75" hidden="false" customHeight="true" outlineLevel="0" collapsed="false">
      <c r="A4" s="42" t="s">
        <v>168</v>
      </c>
      <c r="B4" s="43" t="s">
        <v>417</v>
      </c>
      <c r="C4" s="42" t="s">
        <v>418</v>
      </c>
      <c r="D4" s="42" t="s">
        <v>419</v>
      </c>
      <c r="E4" s="42" t="s">
        <v>420</v>
      </c>
      <c r="F4" s="42" t="s">
        <v>421</v>
      </c>
    </row>
    <row r="5" customFormat="false" ht="27.75" hidden="false" customHeight="true" outlineLevel="0" collapsed="false">
      <c r="A5" s="42" t="s">
        <v>169</v>
      </c>
      <c r="B5" s="43" t="s">
        <v>422</v>
      </c>
      <c r="C5" s="42" t="s">
        <v>423</v>
      </c>
      <c r="D5" s="42" t="s">
        <v>424</v>
      </c>
      <c r="E5" s="42" t="s">
        <v>425</v>
      </c>
      <c r="F5" s="42" t="s">
        <v>426</v>
      </c>
    </row>
    <row r="6" customFormat="false" ht="27.75" hidden="false" customHeight="true" outlineLevel="0" collapsed="false">
      <c r="A6" s="42" t="s">
        <v>170</v>
      </c>
      <c r="B6" s="43" t="s">
        <v>427</v>
      </c>
      <c r="C6" s="42" t="s">
        <v>428</v>
      </c>
      <c r="D6" s="42" t="s">
        <v>429</v>
      </c>
      <c r="E6" s="42" t="s">
        <v>430</v>
      </c>
      <c r="F6" s="42" t="s">
        <v>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38"/>
    <col collapsed="false" customWidth="true" hidden="false" outlineLevel="0" max="4" min="4" style="1" width="12"/>
  </cols>
  <sheetData>
    <row r="1" customFormat="false" ht="17.25" hidden="false" customHeight="true" outlineLevel="0" collapsed="false">
      <c r="A1" s="40" t="s">
        <v>432</v>
      </c>
      <c r="B1" s="40"/>
      <c r="C1" s="40"/>
      <c r="D1" s="40"/>
    </row>
    <row r="3" customFormat="false" ht="27.75" hidden="false" customHeight="true" outlineLevel="0" collapsed="false">
      <c r="A3" s="5" t="s">
        <v>433</v>
      </c>
      <c r="B3" s="10" t="s">
        <v>434</v>
      </c>
      <c r="C3" s="5" t="s">
        <v>435</v>
      </c>
      <c r="D3" s="5" t="s">
        <v>436</v>
      </c>
    </row>
    <row r="4" customFormat="false" ht="15" hidden="false" customHeight="true" outlineLevel="0" collapsed="false">
      <c r="A4" s="42" t="s">
        <v>437</v>
      </c>
      <c r="B4" s="42" t="s">
        <v>438</v>
      </c>
      <c r="C4" s="42" t="s">
        <v>439</v>
      </c>
      <c r="D4" s="42" t="s">
        <v>440</v>
      </c>
    </row>
    <row r="5" customFormat="false" ht="15" hidden="false" customHeight="true" outlineLevel="0" collapsed="false">
      <c r="A5" s="42" t="s">
        <v>437</v>
      </c>
      <c r="B5" s="42" t="s">
        <v>441</v>
      </c>
      <c r="C5" s="42" t="s">
        <v>442</v>
      </c>
      <c r="D5" s="42" t="s">
        <v>440</v>
      </c>
    </row>
    <row r="6" customFormat="false" ht="15" hidden="false" customHeight="true" outlineLevel="0" collapsed="false">
      <c r="A6" s="42" t="s">
        <v>443</v>
      </c>
      <c r="B6" s="42" t="s">
        <v>444</v>
      </c>
      <c r="C6" s="42" t="s">
        <v>445</v>
      </c>
      <c r="D6" s="42" t="s">
        <v>446</v>
      </c>
    </row>
    <row r="7" customFormat="false" ht="15" hidden="false" customHeight="true" outlineLevel="0" collapsed="false">
      <c r="A7" s="42" t="s">
        <v>447</v>
      </c>
      <c r="B7" s="42" t="s">
        <v>448</v>
      </c>
      <c r="C7" s="43" t="s">
        <v>449</v>
      </c>
      <c r="D7" s="42" t="s">
        <v>440</v>
      </c>
    </row>
    <row r="8" customFormat="false" ht="15" hidden="false" customHeight="true" outlineLevel="0" collapsed="false">
      <c r="A8" s="42" t="s">
        <v>450</v>
      </c>
      <c r="B8" s="42" t="s">
        <v>451</v>
      </c>
      <c r="C8" s="42" t="s">
        <v>452</v>
      </c>
      <c r="D8" s="42" t="s">
        <v>446</v>
      </c>
    </row>
    <row r="9" customFormat="false" ht="15" hidden="false" customHeight="true" outlineLevel="0" collapsed="false">
      <c r="A9" s="43" t="s">
        <v>453</v>
      </c>
      <c r="B9" s="42" t="s">
        <v>454</v>
      </c>
      <c r="C9" s="42" t="s">
        <v>455</v>
      </c>
      <c r="D9" s="42" t="s">
        <v>440</v>
      </c>
    </row>
    <row r="10" customFormat="false" ht="15" hidden="false" customHeight="true" outlineLevel="0" collapsed="false">
      <c r="A10" s="42" t="s">
        <v>456</v>
      </c>
      <c r="B10" s="42" t="s">
        <v>457</v>
      </c>
      <c r="C10" s="42" t="s">
        <v>458</v>
      </c>
      <c r="D10" s="42" t="s">
        <v>440</v>
      </c>
    </row>
    <row r="11" customFormat="false" ht="15" hidden="false" customHeight="true" outlineLevel="0" collapsed="false">
      <c r="A11" s="42" t="s">
        <v>459</v>
      </c>
      <c r="B11" s="43" t="s">
        <v>460</v>
      </c>
      <c r="C11" s="42" t="s">
        <v>461</v>
      </c>
      <c r="D11" s="42" t="s">
        <v>446</v>
      </c>
    </row>
    <row r="12" customFormat="false" ht="15" hidden="false" customHeight="true" outlineLevel="0" collapsed="false">
      <c r="A12" s="42" t="s">
        <v>462</v>
      </c>
      <c r="B12" s="43" t="s">
        <v>463</v>
      </c>
      <c r="C12" s="42" t="s">
        <v>464</v>
      </c>
      <c r="D12" s="42" t="s">
        <v>446</v>
      </c>
    </row>
    <row r="15" customFormat="false" ht="17.25" hidden="false" customHeight="true" outlineLevel="0" collapsed="false">
      <c r="A15" s="45" t="s">
        <v>465</v>
      </c>
    </row>
    <row r="16" customFormat="false" ht="27.75" hidden="false" customHeight="true" outlineLevel="0" collapsed="false">
      <c r="A16" s="5" t="s">
        <v>466</v>
      </c>
      <c r="B16" s="5" t="s">
        <v>467</v>
      </c>
      <c r="C16" s="5" t="s">
        <v>265</v>
      </c>
      <c r="D16" s="5" t="s">
        <v>468</v>
      </c>
    </row>
    <row r="17" customFormat="false" ht="41.25" hidden="false" customHeight="true" outlineLevel="0" collapsed="false">
      <c r="A17" s="43" t="s">
        <v>469</v>
      </c>
      <c r="B17" s="42" t="s">
        <v>470</v>
      </c>
      <c r="C17" s="43" t="s">
        <v>471</v>
      </c>
      <c r="D17" s="43"/>
    </row>
    <row r="18" customFormat="false" ht="27.75" hidden="false" customHeight="true" outlineLevel="0" collapsed="false">
      <c r="A18" s="43" t="s">
        <v>472</v>
      </c>
      <c r="B18" s="42" t="s">
        <v>473</v>
      </c>
      <c r="C18" s="43" t="s">
        <v>273</v>
      </c>
      <c r="D18" s="43"/>
    </row>
    <row r="19" customFormat="false" ht="41.25" hidden="false" customHeight="true" outlineLevel="0" collapsed="false">
      <c r="A19" s="43" t="s">
        <v>474</v>
      </c>
      <c r="B19" s="43" t="s">
        <v>475</v>
      </c>
      <c r="C19" s="43" t="s">
        <v>271</v>
      </c>
      <c r="D19" s="43"/>
    </row>
    <row r="20" customFormat="false" ht="27.75" hidden="false" customHeight="true" outlineLevel="0" collapsed="false">
      <c r="A20" s="42" t="s">
        <v>476</v>
      </c>
      <c r="B20" s="42" t="s">
        <v>477</v>
      </c>
      <c r="C20" s="42" t="s">
        <v>332</v>
      </c>
      <c r="D20" s="43"/>
    </row>
    <row r="21" customFormat="false" ht="27.75" hidden="false" customHeight="true" outlineLevel="0" collapsed="false">
      <c r="A21" s="42" t="s">
        <v>478</v>
      </c>
      <c r="B21" s="42" t="s">
        <v>479</v>
      </c>
      <c r="C21" s="42" t="s">
        <v>480</v>
      </c>
      <c r="D21" s="43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0"/>
    <col collapsed="false" customWidth="true" hidden="false" outlineLevel="0" max="4" min="4" style="1" width="20"/>
    <col collapsed="false" customWidth="true" hidden="false" outlineLevel="0" max="5" min="5" style="1" width="42"/>
    <col collapsed="false" customWidth="true" hidden="false" outlineLevel="0" max="7" min="6" style="1" width="10"/>
    <col collapsed="false" customWidth="true" hidden="false" outlineLevel="0" max="8" min="8" style="1" width="18"/>
    <col collapsed="false" customWidth="true" hidden="false" outlineLevel="0" max="9" min="9" style="1" width="8"/>
    <col collapsed="false" customWidth="true" hidden="false" outlineLevel="0" max="10" min="10" style="1" width="20"/>
  </cols>
  <sheetData>
    <row r="1" customFormat="false" ht="27.75" hidden="false" customHeight="true" outlineLevel="0" collapsed="false">
      <c r="A1" s="5" t="s">
        <v>481</v>
      </c>
      <c r="B1" s="5" t="s">
        <v>482</v>
      </c>
      <c r="C1" s="5" t="s">
        <v>347</v>
      </c>
      <c r="D1" s="5" t="s">
        <v>483</v>
      </c>
      <c r="E1" s="5" t="s">
        <v>484</v>
      </c>
      <c r="F1" s="5" t="s">
        <v>265</v>
      </c>
      <c r="G1" s="5" t="s">
        <v>485</v>
      </c>
      <c r="H1" s="5" t="s">
        <v>486</v>
      </c>
      <c r="I1" s="5" t="s">
        <v>487</v>
      </c>
      <c r="J1" s="5" t="s">
        <v>267</v>
      </c>
    </row>
    <row r="2" customFormat="false" ht="27.75" hidden="false" customHeight="true" outlineLevel="0" collapsed="false">
      <c r="A2" s="43" t="s">
        <v>72</v>
      </c>
      <c r="B2" s="42" t="s">
        <v>488</v>
      </c>
      <c r="C2" s="42" t="s">
        <v>365</v>
      </c>
      <c r="D2" s="42" t="s">
        <v>364</v>
      </c>
      <c r="E2" s="42" t="s">
        <v>489</v>
      </c>
      <c r="F2" s="42" t="s">
        <v>281</v>
      </c>
      <c r="G2" s="42" t="s">
        <v>490</v>
      </c>
      <c r="H2" s="43"/>
      <c r="I2" s="43" t="n">
        <v>5000</v>
      </c>
      <c r="J2" s="42" t="s">
        <v>491</v>
      </c>
    </row>
    <row r="3" customFormat="false" ht="27.75" hidden="false" customHeight="true" outlineLevel="0" collapsed="false">
      <c r="A3" s="43" t="s">
        <v>74</v>
      </c>
      <c r="B3" s="42" t="s">
        <v>488</v>
      </c>
      <c r="C3" s="42" t="s">
        <v>372</v>
      </c>
      <c r="D3" s="42" t="s">
        <v>371</v>
      </c>
      <c r="E3" s="42" t="s">
        <v>492</v>
      </c>
      <c r="F3" s="42" t="s">
        <v>281</v>
      </c>
      <c r="G3" s="42" t="s">
        <v>324</v>
      </c>
      <c r="H3" s="43"/>
      <c r="I3" s="43" t="n">
        <v>5000</v>
      </c>
      <c r="J3" s="42" t="s">
        <v>491</v>
      </c>
    </row>
    <row r="4" customFormat="false" ht="27.75" hidden="false" customHeight="true" outlineLevel="0" collapsed="false">
      <c r="A4" s="43" t="s">
        <v>77</v>
      </c>
      <c r="B4" s="42" t="s">
        <v>493</v>
      </c>
      <c r="C4" s="42" t="s">
        <v>388</v>
      </c>
      <c r="D4" s="42" t="s">
        <v>387</v>
      </c>
      <c r="E4" s="42" t="s">
        <v>494</v>
      </c>
      <c r="F4" s="42" t="s">
        <v>281</v>
      </c>
      <c r="G4" s="42" t="s">
        <v>324</v>
      </c>
      <c r="H4" s="43"/>
      <c r="I4" s="43" t="n">
        <v>3500</v>
      </c>
      <c r="J4" s="43"/>
    </row>
    <row r="5" customFormat="false" ht="27.75" hidden="false" customHeight="true" outlineLevel="0" collapsed="false">
      <c r="A5" s="43" t="s">
        <v>80</v>
      </c>
      <c r="B5" s="43" t="s">
        <v>495</v>
      </c>
      <c r="C5" s="42" t="s">
        <v>388</v>
      </c>
      <c r="D5" s="42" t="s">
        <v>496</v>
      </c>
      <c r="E5" s="42" t="s">
        <v>497</v>
      </c>
      <c r="F5" s="42" t="s">
        <v>281</v>
      </c>
      <c r="G5" s="42" t="s">
        <v>324</v>
      </c>
      <c r="H5" s="43"/>
      <c r="I5" s="43" t="n">
        <v>6000</v>
      </c>
      <c r="J5" s="43" t="s">
        <v>498</v>
      </c>
    </row>
    <row r="6" customFormat="false" ht="27.75" hidden="false" customHeight="true" outlineLevel="0" collapsed="false">
      <c r="A6" s="43" t="s">
        <v>84</v>
      </c>
      <c r="B6" s="42" t="s">
        <v>499</v>
      </c>
      <c r="C6" s="42" t="s">
        <v>365</v>
      </c>
      <c r="D6" s="42" t="s">
        <v>362</v>
      </c>
      <c r="E6" s="42" t="s">
        <v>500</v>
      </c>
      <c r="F6" s="42" t="s">
        <v>281</v>
      </c>
      <c r="G6" s="42" t="s">
        <v>324</v>
      </c>
      <c r="H6" s="43"/>
      <c r="I6" s="43" t="n">
        <v>2500</v>
      </c>
      <c r="J6" s="42" t="s">
        <v>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30"/>
    <col collapsed="false" customWidth="true" hidden="false" outlineLevel="0" max="9" min="9" style="0" width="10"/>
  </cols>
  <sheetData>
    <row r="1" customFormat="false" ht="17.9" hidden="false" customHeight="false" outlineLevel="0" collapsed="false">
      <c r="A1" s="51" t="s">
        <v>502</v>
      </c>
      <c r="B1" s="51"/>
      <c r="C1" s="51"/>
      <c r="D1" s="51"/>
      <c r="E1" s="51"/>
      <c r="F1" s="51"/>
      <c r="G1" s="51"/>
      <c r="H1" s="51"/>
      <c r="I1" s="51"/>
    </row>
    <row r="2" customFormat="false" ht="11.9" hidden="false" customHeight="false" outlineLevel="0" collapsed="false">
      <c r="A2" s="52" t="s">
        <v>503</v>
      </c>
      <c r="B2" s="52"/>
      <c r="C2" s="52"/>
      <c r="D2" s="52"/>
      <c r="E2" s="52"/>
      <c r="F2" s="52"/>
      <c r="G2" s="52"/>
      <c r="H2" s="52"/>
      <c r="I2" s="52"/>
    </row>
    <row r="4" customFormat="false" ht="15" hidden="false" customHeight="false" outlineLevel="0" collapsed="false">
      <c r="A4" s="5" t="s">
        <v>504</v>
      </c>
      <c r="B4" s="5" t="s">
        <v>505</v>
      </c>
      <c r="C4" s="5" t="s">
        <v>506</v>
      </c>
      <c r="D4" s="10" t="s">
        <v>507</v>
      </c>
      <c r="E4" s="5" t="s">
        <v>55</v>
      </c>
      <c r="F4" s="10" t="s">
        <v>56</v>
      </c>
      <c r="G4" s="5" t="s">
        <v>508</v>
      </c>
      <c r="H4" s="5" t="s">
        <v>509</v>
      </c>
      <c r="I4" s="5" t="s">
        <v>510</v>
      </c>
    </row>
    <row r="5" customFormat="false" ht="23.85" hidden="false" customHeight="false" outlineLevel="0" collapsed="false">
      <c r="A5" s="22" t="s">
        <v>69</v>
      </c>
      <c r="B5" s="22" t="s">
        <v>511</v>
      </c>
      <c r="C5" s="23" t="s">
        <v>512</v>
      </c>
      <c r="D5" s="22" t="s">
        <v>513</v>
      </c>
      <c r="E5" s="22" t="s">
        <v>514</v>
      </c>
      <c r="F5" s="22" t="s">
        <v>515</v>
      </c>
      <c r="G5" s="23" t="s">
        <v>516</v>
      </c>
      <c r="H5" s="23" t="s">
        <v>517</v>
      </c>
      <c r="I5" s="22"/>
    </row>
    <row r="6" customFormat="false" ht="23.85" hidden="false" customHeight="false" outlineLevel="0" collapsed="false">
      <c r="A6" s="22" t="s">
        <v>69</v>
      </c>
      <c r="B6" s="22" t="s">
        <v>518</v>
      </c>
      <c r="C6" s="23" t="s">
        <v>519</v>
      </c>
      <c r="D6" s="22" t="s">
        <v>520</v>
      </c>
      <c r="E6" s="22" t="s">
        <v>521</v>
      </c>
      <c r="F6" s="22" t="s">
        <v>522</v>
      </c>
      <c r="G6" s="23" t="s">
        <v>523</v>
      </c>
      <c r="H6" s="22" t="s">
        <v>524</v>
      </c>
      <c r="I6" s="22"/>
    </row>
    <row r="7" customFormat="false" ht="15" hidden="false" customHeight="false" outlineLevel="0" collapsed="false">
      <c r="A7" s="22" t="s">
        <v>69</v>
      </c>
      <c r="B7" s="22" t="s">
        <v>525</v>
      </c>
      <c r="C7" s="23" t="s">
        <v>526</v>
      </c>
      <c r="D7" s="22" t="s">
        <v>527</v>
      </c>
      <c r="E7" s="22" t="s">
        <v>528</v>
      </c>
      <c r="F7" s="22" t="s">
        <v>529</v>
      </c>
      <c r="G7" s="23" t="s">
        <v>530</v>
      </c>
      <c r="H7" s="23" t="s">
        <v>531</v>
      </c>
      <c r="I7" s="22"/>
    </row>
    <row r="8" customFormat="false" ht="15" hidden="false" customHeight="false" outlineLevel="0" collapsed="false">
      <c r="A8" s="53"/>
      <c r="B8" s="53"/>
      <c r="C8" s="53"/>
      <c r="D8" s="53"/>
      <c r="E8" s="53"/>
      <c r="F8" s="53"/>
      <c r="G8" s="53"/>
      <c r="H8" s="53"/>
      <c r="I8" s="53"/>
    </row>
    <row r="9" customFormat="false" ht="15" hidden="false" customHeight="false" outlineLevel="0" collapsed="false">
      <c r="A9" s="53"/>
      <c r="B9" s="53"/>
      <c r="C9" s="53"/>
      <c r="D9" s="53"/>
      <c r="E9" s="53"/>
      <c r="F9" s="53"/>
      <c r="G9" s="53"/>
      <c r="H9" s="53"/>
      <c r="I9" s="53"/>
    </row>
    <row r="10" customFormat="false" ht="15" hidden="false" customHeight="false" outlineLevel="0" collapsed="false">
      <c r="A10" s="53"/>
      <c r="B10" s="53"/>
      <c r="C10" s="53"/>
      <c r="D10" s="53"/>
      <c r="E10" s="53"/>
      <c r="F10" s="53"/>
      <c r="G10" s="53"/>
      <c r="H10" s="53"/>
      <c r="I10" s="53"/>
    </row>
    <row r="11" customFormat="false" ht="15" hidden="false" customHeight="false" outlineLevel="0" collapsed="false">
      <c r="A11" s="53"/>
      <c r="B11" s="53"/>
      <c r="C11" s="53"/>
      <c r="D11" s="53"/>
      <c r="E11" s="53"/>
      <c r="F11" s="53"/>
      <c r="G11" s="53"/>
      <c r="H11" s="53"/>
      <c r="I11" s="53"/>
    </row>
    <row r="12" customFormat="false" ht="15" hidden="false" customHeight="false" outlineLevel="0" collapsed="false">
      <c r="A12" s="53"/>
      <c r="B12" s="53"/>
      <c r="C12" s="53"/>
      <c r="D12" s="53"/>
      <c r="E12" s="53"/>
      <c r="F12" s="53"/>
      <c r="G12" s="53"/>
      <c r="H12" s="53"/>
      <c r="I12" s="53"/>
    </row>
    <row r="13" customFormat="false" ht="15" hidden="false" customHeight="false" outlineLevel="0" collapsed="false">
      <c r="A13" s="53"/>
      <c r="B13" s="53"/>
      <c r="C13" s="53"/>
      <c r="D13" s="53"/>
      <c r="E13" s="53"/>
      <c r="F13" s="53"/>
      <c r="G13" s="53"/>
      <c r="H13" s="53"/>
      <c r="I13" s="53"/>
    </row>
    <row r="14" customFormat="false" ht="15" hidden="false" customHeight="false" outlineLevel="0" collapsed="false">
      <c r="A14" s="53"/>
      <c r="B14" s="53"/>
      <c r="C14" s="53"/>
      <c r="D14" s="53"/>
      <c r="E14" s="53"/>
      <c r="F14" s="53"/>
      <c r="G14" s="53"/>
      <c r="H14" s="53"/>
      <c r="I14" s="53"/>
    </row>
    <row r="15" customFormat="false" ht="15" hidden="false" customHeight="false" outlineLevel="0" collapsed="false">
      <c r="A15" s="53"/>
      <c r="B15" s="53"/>
      <c r="C15" s="53"/>
      <c r="D15" s="53"/>
      <c r="E15" s="53"/>
      <c r="F15" s="53"/>
      <c r="G15" s="53"/>
      <c r="H15" s="53"/>
      <c r="I15" s="53"/>
    </row>
    <row r="16" customFormat="false" ht="15" hidden="false" customHeight="false" outlineLevel="0" collapsed="false">
      <c r="A16" s="53"/>
      <c r="B16" s="53"/>
      <c r="C16" s="53"/>
      <c r="D16" s="53"/>
      <c r="E16" s="53"/>
      <c r="F16" s="53"/>
      <c r="G16" s="53"/>
      <c r="H16" s="53"/>
      <c r="I16" s="53"/>
    </row>
    <row r="17" customFormat="false" ht="15" hidden="false" customHeight="false" outlineLevel="0" collapsed="false">
      <c r="A17" s="53"/>
      <c r="B17" s="53"/>
      <c r="C17" s="53"/>
      <c r="D17" s="53"/>
      <c r="E17" s="53"/>
      <c r="F17" s="53"/>
      <c r="G17" s="53"/>
      <c r="H17" s="53"/>
      <c r="I17" s="53"/>
    </row>
    <row r="18" customFormat="false" ht="15" hidden="false" customHeight="false" outlineLevel="0" collapsed="false">
      <c r="A18" s="53"/>
      <c r="B18" s="53"/>
      <c r="C18" s="53"/>
      <c r="D18" s="53"/>
      <c r="E18" s="53"/>
      <c r="F18" s="53"/>
      <c r="G18" s="53"/>
      <c r="H18" s="53"/>
      <c r="I18" s="53"/>
    </row>
    <row r="19" customFormat="false" ht="15" hidden="false" customHeight="false" outlineLevel="0" collapsed="false">
      <c r="A19" s="53"/>
      <c r="B19" s="53"/>
      <c r="C19" s="53"/>
      <c r="D19" s="53"/>
      <c r="E19" s="53"/>
      <c r="F19" s="53"/>
      <c r="G19" s="53"/>
      <c r="H19" s="53"/>
      <c r="I19" s="53"/>
    </row>
    <row r="20" customFormat="false" ht="15" hidden="false" customHeight="false" outlineLevel="0" collapsed="false">
      <c r="A20" s="53"/>
      <c r="B20" s="53"/>
      <c r="C20" s="53"/>
      <c r="D20" s="53"/>
      <c r="E20" s="53"/>
      <c r="F20" s="53"/>
      <c r="G20" s="53"/>
      <c r="H20" s="53"/>
      <c r="I20" s="53"/>
    </row>
    <row r="21" customFormat="false" ht="15" hidden="false" customHeight="false" outlineLevel="0" collapsed="false">
      <c r="A21" s="53"/>
      <c r="B21" s="53"/>
      <c r="C21" s="53"/>
      <c r="D21" s="53"/>
      <c r="E21" s="53"/>
      <c r="F21" s="53"/>
      <c r="G21" s="53"/>
      <c r="H21" s="53"/>
      <c r="I21" s="53"/>
    </row>
    <row r="22" customFormat="false" ht="15" hidden="false" customHeight="false" outlineLevel="0" collapsed="false">
      <c r="A22" s="53"/>
      <c r="B22" s="53"/>
      <c r="C22" s="53"/>
      <c r="D22" s="53"/>
      <c r="E22" s="53"/>
      <c r="F22" s="53"/>
      <c r="G22" s="53"/>
      <c r="H22" s="53"/>
      <c r="I22" s="53"/>
    </row>
    <row r="23" customFormat="false" ht="15" hidden="false" customHeight="false" outlineLevel="0" collapsed="false">
      <c r="A23" s="53"/>
      <c r="B23" s="53"/>
      <c r="C23" s="53"/>
      <c r="D23" s="53"/>
      <c r="E23" s="53"/>
      <c r="F23" s="53"/>
      <c r="G23" s="53"/>
      <c r="H23" s="53"/>
      <c r="I23" s="53"/>
    </row>
    <row r="24" customFormat="false" ht="15" hidden="false" customHeight="false" outlineLevel="0" collapsed="false">
      <c r="A24" s="53"/>
      <c r="B24" s="53"/>
      <c r="C24" s="53"/>
      <c r="D24" s="53"/>
      <c r="E24" s="53"/>
      <c r="F24" s="53"/>
      <c r="G24" s="53"/>
      <c r="H24" s="53"/>
      <c r="I24" s="53"/>
    </row>
    <row r="25" customFormat="false" ht="15" hidden="false" customHeight="false" outlineLevel="0" collapsed="false">
      <c r="A25" s="53"/>
      <c r="B25" s="53"/>
      <c r="C25" s="53"/>
      <c r="D25" s="53"/>
      <c r="E25" s="53"/>
      <c r="F25" s="53"/>
      <c r="G25" s="53"/>
      <c r="H25" s="53"/>
      <c r="I25" s="53"/>
    </row>
    <row r="26" customFormat="false" ht="15" hidden="false" customHeight="false" outlineLevel="0" collapsed="false">
      <c r="A26" s="53"/>
      <c r="B26" s="53"/>
      <c r="C26" s="53"/>
      <c r="D26" s="53"/>
      <c r="E26" s="53"/>
      <c r="F26" s="53"/>
      <c r="G26" s="53"/>
      <c r="H26" s="53"/>
      <c r="I26" s="53"/>
    </row>
    <row r="27" customFormat="false" ht="15" hidden="false" customHeight="false" outlineLevel="0" collapsed="false">
      <c r="A27" s="53"/>
      <c r="B27" s="53"/>
      <c r="C27" s="53"/>
      <c r="D27" s="53"/>
      <c r="E27" s="53"/>
      <c r="F27" s="53"/>
      <c r="G27" s="53"/>
      <c r="H27" s="53"/>
      <c r="I27" s="53"/>
    </row>
    <row r="28" customFormat="false" ht="15" hidden="false" customHeight="false" outlineLevel="0" collapsed="false">
      <c r="A28" s="53"/>
      <c r="B28" s="53"/>
      <c r="C28" s="53"/>
      <c r="D28" s="53"/>
      <c r="E28" s="53"/>
      <c r="F28" s="53"/>
      <c r="G28" s="53"/>
      <c r="H28" s="53"/>
      <c r="I28" s="53"/>
    </row>
    <row r="29" customFormat="false" ht="15" hidden="false" customHeight="false" outlineLevel="0" collapsed="false">
      <c r="A29" s="53"/>
      <c r="B29" s="53"/>
      <c r="C29" s="53"/>
      <c r="D29" s="53"/>
      <c r="E29" s="53"/>
      <c r="F29" s="53"/>
      <c r="G29" s="53"/>
      <c r="H29" s="53"/>
      <c r="I29" s="53"/>
    </row>
    <row r="30" customFormat="false" ht="15" hidden="false" customHeight="false" outlineLevel="0" collapsed="false">
      <c r="A30" s="53"/>
      <c r="B30" s="53"/>
      <c r="C30" s="53"/>
      <c r="D30" s="53"/>
      <c r="E30" s="53"/>
      <c r="F30" s="53"/>
      <c r="G30" s="53"/>
      <c r="H30" s="53"/>
      <c r="I30" s="53"/>
    </row>
    <row r="31" customFormat="false" ht="15" hidden="false" customHeight="false" outlineLevel="0" collapsed="false">
      <c r="A31" s="53"/>
      <c r="B31" s="53"/>
      <c r="C31" s="53"/>
      <c r="D31" s="53"/>
      <c r="E31" s="53"/>
      <c r="F31" s="53"/>
      <c r="G31" s="53"/>
      <c r="H31" s="53"/>
      <c r="I31" s="53"/>
    </row>
    <row r="32" customFormat="false" ht="15" hidden="false" customHeight="false" outlineLevel="0" collapsed="false">
      <c r="A32" s="53"/>
      <c r="B32" s="53"/>
      <c r="C32" s="53"/>
      <c r="D32" s="53"/>
      <c r="E32" s="53"/>
      <c r="F32" s="53"/>
      <c r="G32" s="53"/>
      <c r="H32" s="53"/>
      <c r="I32" s="53"/>
    </row>
    <row r="33" customFormat="false" ht="15" hidden="false" customHeight="false" outlineLevel="0" collapsed="false">
      <c r="A33" s="53"/>
      <c r="B33" s="53"/>
      <c r="C33" s="53"/>
      <c r="D33" s="53"/>
      <c r="E33" s="53"/>
      <c r="F33" s="53"/>
      <c r="G33" s="53"/>
      <c r="H33" s="53"/>
      <c r="I33" s="53"/>
    </row>
    <row r="34" customFormat="false" ht="15" hidden="false" customHeight="false" outlineLevel="0" collapsed="false">
      <c r="A34" s="53"/>
      <c r="B34" s="53"/>
      <c r="C34" s="53"/>
      <c r="D34" s="53"/>
      <c r="E34" s="53"/>
      <c r="F34" s="53"/>
      <c r="G34" s="53"/>
      <c r="H34" s="53"/>
      <c r="I34" s="53"/>
    </row>
    <row r="35" customFormat="false" ht="15" hidden="false" customHeight="false" outlineLevel="0" collapsed="false">
      <c r="A35" s="53"/>
      <c r="B35" s="53"/>
      <c r="C35" s="53"/>
      <c r="D35" s="53"/>
      <c r="E35" s="53"/>
      <c r="F35" s="53"/>
      <c r="G35" s="53"/>
      <c r="H35" s="53"/>
      <c r="I35" s="53"/>
    </row>
    <row r="36" customFormat="false" ht="15" hidden="false" customHeight="false" outlineLevel="0" collapsed="false">
      <c r="A36" s="53"/>
      <c r="B36" s="53"/>
      <c r="C36" s="53"/>
      <c r="D36" s="53"/>
      <c r="E36" s="53"/>
      <c r="F36" s="53"/>
      <c r="G36" s="53"/>
      <c r="H36" s="53"/>
      <c r="I36" s="53"/>
    </row>
    <row r="37" customFormat="false" ht="15" hidden="false" customHeight="false" outlineLevel="0" collapsed="false">
      <c r="A37" s="53"/>
      <c r="B37" s="53"/>
      <c r="C37" s="53"/>
      <c r="D37" s="53"/>
      <c r="E37" s="53"/>
      <c r="F37" s="53"/>
      <c r="G37" s="53"/>
      <c r="H37" s="53"/>
      <c r="I37" s="53"/>
    </row>
    <row r="40" customFormat="false" ht="15" hidden="false" customHeight="false" outlineLevel="0" collapsed="false">
      <c r="A40" s="54" t="s">
        <v>532</v>
      </c>
    </row>
    <row r="42" customFormat="false" ht="15" hidden="false" customHeight="false" outlineLevel="0" collapsed="false">
      <c r="A42" s="55" t="s">
        <v>533</v>
      </c>
    </row>
    <row r="43" customFormat="false" ht="11.9" hidden="false" customHeight="false" outlineLevel="0" collapsed="false">
      <c r="A43" s="56" t="s">
        <v>534</v>
      </c>
      <c r="B43" s="56"/>
      <c r="C43" s="56"/>
      <c r="D43" s="56"/>
      <c r="E43" s="56"/>
      <c r="F43" s="56"/>
      <c r="G43" s="56"/>
      <c r="H43" s="56"/>
      <c r="I43" s="56"/>
    </row>
    <row r="45" customFormat="false" ht="15" hidden="false" customHeight="false" outlineLevel="0" collapsed="false">
      <c r="A45" s="55" t="s">
        <v>535</v>
      </c>
    </row>
    <row r="46" customFormat="false" ht="11.9" hidden="false" customHeight="false" outlineLevel="0" collapsed="false">
      <c r="A46" s="56" t="s">
        <v>536</v>
      </c>
      <c r="B46" s="56"/>
      <c r="C46" s="56"/>
      <c r="D46" s="56"/>
      <c r="E46" s="56"/>
      <c r="F46" s="56"/>
      <c r="G46" s="56"/>
      <c r="H46" s="56"/>
      <c r="I46" s="56"/>
    </row>
    <row r="48" customFormat="false" ht="15" hidden="false" customHeight="false" outlineLevel="0" collapsed="false">
      <c r="A48" s="55" t="s">
        <v>537</v>
      </c>
    </row>
    <row r="49" customFormat="false" ht="11.9" hidden="false" customHeight="false" outlineLevel="0" collapsed="false">
      <c r="A49" s="56" t="s">
        <v>538</v>
      </c>
      <c r="B49" s="56"/>
      <c r="C49" s="56"/>
      <c r="D49" s="56"/>
      <c r="E49" s="56"/>
      <c r="F49" s="56"/>
      <c r="G49" s="56"/>
      <c r="H49" s="56"/>
      <c r="I49" s="56"/>
    </row>
  </sheetData>
  <mergeCells count="5">
    <mergeCell ref="A1:I1"/>
    <mergeCell ref="A2:I2"/>
    <mergeCell ref="A43:I43"/>
    <mergeCell ref="A46:I46"/>
    <mergeCell ref="A49:I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40"/>
    <col collapsed="false" customWidth="true" hidden="false" outlineLevel="0" max="6" min="5" style="0" width="30"/>
    <col collapsed="false" customWidth="true" hidden="false" outlineLevel="0" max="7" min="7" style="0" width="10"/>
    <col collapsed="false" customWidth="true" hidden="false" outlineLevel="0" max="8" min="8" style="0" width="24"/>
  </cols>
  <sheetData>
    <row r="1" customFormat="false" ht="17.9" hidden="false" customHeight="false" outlineLevel="0" collapsed="false">
      <c r="A1" s="57" t="s">
        <v>539</v>
      </c>
      <c r="B1" s="57"/>
      <c r="C1" s="57"/>
      <c r="D1" s="57"/>
      <c r="E1" s="57"/>
      <c r="F1" s="57"/>
      <c r="G1" s="57"/>
      <c r="H1" s="57"/>
    </row>
    <row r="2" customFormat="false" ht="11.9" hidden="false" customHeight="false" outlineLevel="0" collapsed="false">
      <c r="A2" s="52" t="s">
        <v>540</v>
      </c>
      <c r="B2" s="52"/>
      <c r="C2" s="52"/>
      <c r="D2" s="52"/>
      <c r="E2" s="52"/>
      <c r="F2" s="52"/>
      <c r="G2" s="52"/>
      <c r="H2" s="52"/>
    </row>
    <row r="4" customFormat="false" ht="15" hidden="false" customHeight="false" outlineLevel="0" collapsed="false">
      <c r="A4" s="58" t="s">
        <v>504</v>
      </c>
      <c r="B4" s="58" t="s">
        <v>541</v>
      </c>
      <c r="C4" s="58" t="s">
        <v>237</v>
      </c>
      <c r="D4" s="58" t="s">
        <v>542</v>
      </c>
      <c r="E4" s="58" t="s">
        <v>543</v>
      </c>
      <c r="F4" s="58" t="s">
        <v>544</v>
      </c>
      <c r="G4" s="58" t="s">
        <v>545</v>
      </c>
      <c r="H4" s="58" t="s">
        <v>546</v>
      </c>
    </row>
    <row r="5" customFormat="false" ht="23.85" hidden="false" customHeight="false" outlineLevel="0" collapsed="false">
      <c r="A5" s="22" t="s">
        <v>69</v>
      </c>
      <c r="B5" s="22" t="s">
        <v>547</v>
      </c>
      <c r="C5" s="23" t="s">
        <v>548</v>
      </c>
      <c r="D5" s="23" t="s">
        <v>549</v>
      </c>
      <c r="E5" s="23" t="s">
        <v>550</v>
      </c>
      <c r="F5" s="23" t="s">
        <v>551</v>
      </c>
      <c r="G5" s="22"/>
      <c r="H5" s="22"/>
    </row>
    <row r="6" customFormat="false" ht="23.85" hidden="false" customHeight="false" outlineLevel="0" collapsed="false">
      <c r="A6" s="22" t="s">
        <v>69</v>
      </c>
      <c r="B6" s="22" t="s">
        <v>547</v>
      </c>
      <c r="C6" s="23" t="s">
        <v>552</v>
      </c>
      <c r="D6" s="22" t="s">
        <v>553</v>
      </c>
      <c r="E6" s="23" t="s">
        <v>554</v>
      </c>
      <c r="F6" s="23" t="s">
        <v>555</v>
      </c>
      <c r="G6" s="22"/>
      <c r="H6" s="22"/>
    </row>
    <row r="7" customFormat="false" ht="23.85" hidden="false" customHeight="false" outlineLevel="0" collapsed="false">
      <c r="A7" s="22" t="s">
        <v>69</v>
      </c>
      <c r="B7" s="22" t="s">
        <v>556</v>
      </c>
      <c r="C7" s="22" t="s">
        <v>557</v>
      </c>
      <c r="D7" s="23" t="s">
        <v>558</v>
      </c>
      <c r="E7" s="23" t="s">
        <v>559</v>
      </c>
      <c r="F7" s="23" t="s">
        <v>560</v>
      </c>
      <c r="G7" s="22"/>
      <c r="H7" s="22"/>
    </row>
    <row r="8" customFormat="false" ht="15" hidden="false" customHeight="false" outlineLevel="0" collapsed="false">
      <c r="A8" s="53"/>
      <c r="B8" s="53"/>
      <c r="C8" s="53"/>
      <c r="D8" s="53"/>
      <c r="E8" s="53"/>
      <c r="F8" s="53"/>
      <c r="G8" s="53"/>
      <c r="H8" s="53"/>
    </row>
    <row r="9" customFormat="false" ht="15" hidden="false" customHeight="false" outlineLevel="0" collapsed="false">
      <c r="A9" s="53"/>
      <c r="B9" s="53"/>
      <c r="C9" s="53"/>
      <c r="D9" s="53"/>
      <c r="E9" s="53"/>
      <c r="F9" s="53"/>
      <c r="G9" s="53"/>
      <c r="H9" s="53"/>
    </row>
    <row r="10" customFormat="false" ht="15" hidden="false" customHeight="false" outlineLevel="0" collapsed="false">
      <c r="A10" s="53"/>
      <c r="B10" s="53"/>
      <c r="C10" s="53"/>
      <c r="D10" s="53"/>
      <c r="E10" s="53"/>
      <c r="F10" s="53"/>
      <c r="G10" s="53"/>
      <c r="H10" s="53"/>
    </row>
    <row r="11" customFormat="false" ht="15" hidden="false" customHeight="false" outlineLevel="0" collapsed="false">
      <c r="A11" s="53"/>
      <c r="B11" s="53"/>
      <c r="C11" s="53"/>
      <c r="D11" s="53"/>
      <c r="E11" s="53"/>
      <c r="F11" s="53"/>
      <c r="G11" s="53"/>
      <c r="H11" s="53"/>
    </row>
    <row r="12" customFormat="false" ht="15" hidden="false" customHeight="false" outlineLevel="0" collapsed="false">
      <c r="A12" s="53"/>
      <c r="B12" s="53"/>
      <c r="C12" s="53"/>
      <c r="D12" s="53"/>
      <c r="E12" s="53"/>
      <c r="F12" s="53"/>
      <c r="G12" s="53"/>
      <c r="H12" s="53"/>
    </row>
    <row r="13" customFormat="false" ht="15" hidden="false" customHeight="false" outlineLevel="0" collapsed="false">
      <c r="A13" s="53"/>
      <c r="B13" s="53"/>
      <c r="C13" s="53"/>
      <c r="D13" s="53"/>
      <c r="E13" s="53"/>
      <c r="F13" s="53"/>
      <c r="G13" s="53"/>
      <c r="H13" s="53"/>
    </row>
    <row r="14" customFormat="false" ht="15" hidden="false" customHeight="false" outlineLevel="0" collapsed="false">
      <c r="A14" s="53"/>
      <c r="B14" s="53"/>
      <c r="C14" s="53"/>
      <c r="D14" s="53"/>
      <c r="E14" s="53"/>
      <c r="F14" s="53"/>
      <c r="G14" s="53"/>
      <c r="H14" s="53"/>
    </row>
    <row r="15" customFormat="false" ht="15" hidden="false" customHeight="false" outlineLevel="0" collapsed="false">
      <c r="A15" s="53"/>
      <c r="B15" s="53"/>
      <c r="C15" s="53"/>
      <c r="D15" s="53"/>
      <c r="E15" s="53"/>
      <c r="F15" s="53"/>
      <c r="G15" s="53"/>
      <c r="H15" s="53"/>
    </row>
    <row r="16" customFormat="false" ht="15" hidden="false" customHeight="false" outlineLevel="0" collapsed="false">
      <c r="A16" s="53"/>
      <c r="B16" s="53"/>
      <c r="C16" s="53"/>
      <c r="D16" s="53"/>
      <c r="E16" s="53"/>
      <c r="F16" s="53"/>
      <c r="G16" s="53"/>
      <c r="H16" s="53"/>
    </row>
    <row r="17" customFormat="false" ht="15" hidden="false" customHeight="false" outlineLevel="0" collapsed="false">
      <c r="A17" s="53"/>
      <c r="B17" s="53"/>
      <c r="C17" s="53"/>
      <c r="D17" s="53"/>
      <c r="E17" s="53"/>
      <c r="F17" s="53"/>
      <c r="G17" s="53"/>
      <c r="H17" s="53"/>
    </row>
    <row r="18" customFormat="false" ht="15" hidden="false" customHeight="false" outlineLevel="0" collapsed="false">
      <c r="A18" s="53"/>
      <c r="B18" s="53"/>
      <c r="C18" s="53"/>
      <c r="D18" s="53"/>
      <c r="E18" s="53"/>
      <c r="F18" s="53"/>
      <c r="G18" s="53"/>
      <c r="H18" s="53"/>
    </row>
    <row r="19" customFormat="false" ht="15" hidden="false" customHeight="false" outlineLevel="0" collapsed="false">
      <c r="A19" s="53"/>
      <c r="B19" s="53"/>
      <c r="C19" s="53"/>
      <c r="D19" s="53"/>
      <c r="E19" s="53"/>
      <c r="F19" s="53"/>
      <c r="G19" s="53"/>
      <c r="H19" s="53"/>
    </row>
    <row r="20" customFormat="false" ht="15" hidden="false" customHeight="false" outlineLevel="0" collapsed="false">
      <c r="A20" s="53"/>
      <c r="B20" s="53"/>
      <c r="C20" s="53"/>
      <c r="D20" s="53"/>
      <c r="E20" s="53"/>
      <c r="F20" s="53"/>
      <c r="G20" s="53"/>
      <c r="H20" s="53"/>
    </row>
    <row r="21" customFormat="false" ht="15" hidden="false" customHeight="false" outlineLevel="0" collapsed="false">
      <c r="A21" s="53"/>
      <c r="B21" s="53"/>
      <c r="C21" s="53"/>
      <c r="D21" s="53"/>
      <c r="E21" s="53"/>
      <c r="F21" s="53"/>
      <c r="G21" s="53"/>
      <c r="H21" s="53"/>
    </row>
    <row r="22" customFormat="false" ht="15" hidden="false" customHeight="false" outlineLevel="0" collapsed="false">
      <c r="A22" s="53"/>
      <c r="B22" s="53"/>
      <c r="C22" s="53"/>
      <c r="D22" s="53"/>
      <c r="E22" s="53"/>
      <c r="F22" s="53"/>
      <c r="G22" s="53"/>
      <c r="H22" s="53"/>
    </row>
    <row r="23" customFormat="false" ht="15" hidden="false" customHeight="false" outlineLevel="0" collapsed="false">
      <c r="A23" s="53"/>
      <c r="B23" s="53"/>
      <c r="C23" s="53"/>
      <c r="D23" s="53"/>
      <c r="E23" s="53"/>
      <c r="F23" s="53"/>
      <c r="G23" s="53"/>
      <c r="H23" s="53"/>
    </row>
    <row r="24" customFormat="false" ht="15" hidden="false" customHeight="false" outlineLevel="0" collapsed="false">
      <c r="A24" s="53"/>
      <c r="B24" s="53"/>
      <c r="C24" s="53"/>
      <c r="D24" s="53"/>
      <c r="E24" s="53"/>
      <c r="F24" s="53"/>
      <c r="G24" s="53"/>
      <c r="H24" s="53"/>
    </row>
    <row r="25" customFormat="false" ht="15" hidden="false" customHeight="false" outlineLevel="0" collapsed="false">
      <c r="A25" s="53"/>
      <c r="B25" s="53"/>
      <c r="C25" s="53"/>
      <c r="D25" s="53"/>
      <c r="E25" s="53"/>
      <c r="F25" s="53"/>
      <c r="G25" s="53"/>
      <c r="H25" s="53"/>
    </row>
    <row r="26" customFormat="false" ht="15" hidden="false" customHeight="false" outlineLevel="0" collapsed="false">
      <c r="A26" s="53"/>
      <c r="B26" s="53"/>
      <c r="C26" s="53"/>
      <c r="D26" s="53"/>
      <c r="E26" s="53"/>
      <c r="F26" s="53"/>
      <c r="G26" s="53"/>
      <c r="H26" s="53"/>
    </row>
    <row r="27" customFormat="false" ht="15" hidden="false" customHeight="false" outlineLevel="0" collapsed="false">
      <c r="A27" s="53"/>
      <c r="B27" s="53"/>
      <c r="C27" s="53"/>
      <c r="D27" s="53"/>
      <c r="E27" s="53"/>
      <c r="F27" s="53"/>
      <c r="G27" s="53"/>
      <c r="H27" s="53"/>
    </row>
    <row r="28" customFormat="false" ht="15" hidden="false" customHeight="false" outlineLevel="0" collapsed="false">
      <c r="A28" s="53"/>
      <c r="B28" s="53"/>
      <c r="C28" s="53"/>
      <c r="D28" s="53"/>
      <c r="E28" s="53"/>
      <c r="F28" s="53"/>
      <c r="G28" s="53"/>
      <c r="H28" s="53"/>
    </row>
    <row r="29" customFormat="false" ht="15" hidden="false" customHeight="false" outlineLevel="0" collapsed="false">
      <c r="A29" s="53"/>
      <c r="B29" s="53"/>
      <c r="C29" s="53"/>
      <c r="D29" s="53"/>
      <c r="E29" s="53"/>
      <c r="F29" s="53"/>
      <c r="G29" s="53"/>
      <c r="H29" s="53"/>
    </row>
    <row r="30" customFormat="false" ht="15" hidden="false" customHeight="false" outlineLevel="0" collapsed="false">
      <c r="A30" s="53"/>
      <c r="B30" s="53"/>
      <c r="C30" s="53"/>
      <c r="D30" s="53"/>
      <c r="E30" s="53"/>
      <c r="F30" s="53"/>
      <c r="G30" s="53"/>
      <c r="H30" s="53"/>
    </row>
    <row r="31" customFormat="false" ht="15" hidden="false" customHeight="false" outlineLevel="0" collapsed="false">
      <c r="A31" s="53"/>
      <c r="B31" s="53"/>
      <c r="C31" s="53"/>
      <c r="D31" s="53"/>
      <c r="E31" s="53"/>
      <c r="F31" s="53"/>
      <c r="G31" s="53"/>
      <c r="H31" s="53"/>
    </row>
    <row r="32" customFormat="false" ht="15" hidden="false" customHeight="false" outlineLevel="0" collapsed="false">
      <c r="A32" s="53"/>
      <c r="B32" s="53"/>
      <c r="C32" s="53"/>
      <c r="D32" s="53"/>
      <c r="E32" s="53"/>
      <c r="F32" s="53"/>
      <c r="G32" s="53"/>
      <c r="H32" s="53"/>
    </row>
    <row r="33" customFormat="false" ht="15" hidden="false" customHeight="false" outlineLevel="0" collapsed="false">
      <c r="A33" s="53"/>
      <c r="B33" s="53"/>
      <c r="C33" s="53"/>
      <c r="D33" s="53"/>
      <c r="E33" s="53"/>
      <c r="F33" s="53"/>
      <c r="G33" s="53"/>
      <c r="H33" s="53"/>
    </row>
    <row r="34" customFormat="false" ht="15" hidden="false" customHeight="false" outlineLevel="0" collapsed="false">
      <c r="A34" s="53"/>
      <c r="B34" s="53"/>
      <c r="C34" s="53"/>
      <c r="D34" s="53"/>
      <c r="E34" s="53"/>
      <c r="F34" s="53"/>
      <c r="G34" s="53"/>
      <c r="H34" s="53"/>
    </row>
    <row r="35" customFormat="false" ht="15" hidden="false" customHeight="false" outlineLevel="0" collapsed="false">
      <c r="A35" s="53"/>
      <c r="B35" s="53"/>
      <c r="C35" s="53"/>
      <c r="D35" s="53"/>
      <c r="E35" s="53"/>
      <c r="F35" s="53"/>
      <c r="G35" s="53"/>
      <c r="H35" s="53"/>
    </row>
    <row r="36" customFormat="false" ht="15" hidden="false" customHeight="false" outlineLevel="0" collapsed="false">
      <c r="A36" s="53"/>
      <c r="B36" s="53"/>
      <c r="C36" s="53"/>
      <c r="D36" s="53"/>
      <c r="E36" s="53"/>
      <c r="F36" s="53"/>
      <c r="G36" s="53"/>
      <c r="H36" s="53"/>
    </row>
    <row r="37" customFormat="false" ht="15" hidden="false" customHeight="false" outlineLevel="0" collapsed="false">
      <c r="A37" s="53"/>
      <c r="B37" s="53"/>
      <c r="C37" s="53"/>
      <c r="D37" s="53"/>
      <c r="E37" s="53"/>
      <c r="F37" s="53"/>
      <c r="G37" s="53"/>
      <c r="H37" s="53"/>
    </row>
    <row r="40" customFormat="false" ht="15" hidden="false" customHeight="false" outlineLevel="0" collapsed="false">
      <c r="A40" s="59" t="s">
        <v>561</v>
      </c>
    </row>
    <row r="42" customFormat="false" ht="15" hidden="false" customHeight="false" outlineLevel="0" collapsed="false">
      <c r="A42" s="55" t="s">
        <v>562</v>
      </c>
    </row>
    <row r="43" customFormat="false" ht="11.9" hidden="false" customHeight="false" outlineLevel="0" collapsed="false">
      <c r="A43" s="60" t="s">
        <v>563</v>
      </c>
      <c r="B43" s="60"/>
      <c r="C43" s="60"/>
      <c r="D43" s="60"/>
      <c r="E43" s="60"/>
      <c r="F43" s="60"/>
      <c r="G43" s="60"/>
      <c r="H43" s="60"/>
    </row>
    <row r="45" customFormat="false" ht="15" hidden="false" customHeight="false" outlineLevel="0" collapsed="false">
      <c r="A45" s="55" t="s">
        <v>564</v>
      </c>
    </row>
    <row r="46" customFormat="false" ht="11.9" hidden="false" customHeight="false" outlineLevel="0" collapsed="false">
      <c r="A46" s="60" t="s">
        <v>565</v>
      </c>
      <c r="B46" s="60"/>
      <c r="C46" s="60"/>
      <c r="D46" s="60"/>
      <c r="E46" s="60"/>
      <c r="F46" s="60"/>
      <c r="G46" s="60"/>
      <c r="H46" s="60"/>
    </row>
    <row r="48" customFormat="false" ht="15" hidden="false" customHeight="false" outlineLevel="0" collapsed="false">
      <c r="A48" s="55" t="s">
        <v>566</v>
      </c>
    </row>
    <row r="49" customFormat="false" ht="15" hidden="false" customHeight="false" outlineLevel="0" collapsed="false">
      <c r="A49" s="60" t="s">
        <v>567</v>
      </c>
      <c r="B49" s="60"/>
      <c r="C49" s="60"/>
      <c r="D49" s="60"/>
      <c r="E49" s="60"/>
      <c r="F49" s="60"/>
      <c r="G49" s="60"/>
      <c r="H49" s="60"/>
    </row>
    <row r="51" customFormat="false" ht="15" hidden="false" customHeight="false" outlineLevel="0" collapsed="false">
      <c r="A51" s="55" t="s">
        <v>568</v>
      </c>
    </row>
    <row r="52" customFormat="false" ht="15" hidden="false" customHeight="false" outlineLevel="0" collapsed="false">
      <c r="A52" s="60" t="s">
        <v>569</v>
      </c>
      <c r="B52" s="60"/>
      <c r="C52" s="60"/>
      <c r="D52" s="60"/>
      <c r="E52" s="60"/>
      <c r="F52" s="60"/>
      <c r="G52" s="60"/>
      <c r="H52" s="60"/>
    </row>
  </sheetData>
  <mergeCells count="6">
    <mergeCell ref="A1:H1"/>
    <mergeCell ref="A2:H2"/>
    <mergeCell ref="A43:H43"/>
    <mergeCell ref="A46:H46"/>
    <mergeCell ref="A49:H49"/>
    <mergeCell ref="A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7" min="7" style="0" width="10"/>
  </cols>
  <sheetData>
    <row r="1" customFormat="false" ht="17.9" hidden="false" customHeight="false" outlineLevel="0" collapsed="false">
      <c r="A1" s="61" t="s">
        <v>570</v>
      </c>
      <c r="B1" s="61"/>
      <c r="C1" s="61"/>
      <c r="D1" s="61"/>
      <c r="E1" s="61"/>
      <c r="F1" s="61"/>
      <c r="G1" s="61"/>
    </row>
    <row r="2" customFormat="false" ht="15" hidden="false" customHeight="false" outlineLevel="0" collapsed="false">
      <c r="A2" s="62" t="s">
        <v>571</v>
      </c>
    </row>
    <row r="4" customFormat="false" ht="15" hidden="false" customHeight="false" outlineLevel="0" collapsed="false">
      <c r="A4" s="20" t="s">
        <v>572</v>
      </c>
      <c r="B4" s="20" t="s">
        <v>573</v>
      </c>
      <c r="C4" s="20" t="s">
        <v>574</v>
      </c>
      <c r="D4" s="20" t="s">
        <v>575</v>
      </c>
      <c r="E4" s="20" t="s">
        <v>576</v>
      </c>
      <c r="F4" s="20" t="s">
        <v>577</v>
      </c>
      <c r="G4" s="20" t="s">
        <v>578</v>
      </c>
    </row>
    <row r="5" customFormat="false" ht="23.85" hidden="false" customHeight="false" outlineLevel="0" collapsed="false">
      <c r="A5" s="22" t="s">
        <v>69</v>
      </c>
      <c r="B5" s="22" t="s">
        <v>579</v>
      </c>
      <c r="C5" s="23" t="s">
        <v>580</v>
      </c>
      <c r="D5" s="23" t="s">
        <v>440</v>
      </c>
      <c r="E5" s="23" t="s">
        <v>581</v>
      </c>
      <c r="F5" s="23" t="s">
        <v>582</v>
      </c>
      <c r="G5" s="22"/>
    </row>
    <row r="6" customFormat="false" ht="23.85" hidden="false" customHeight="false" outlineLevel="0" collapsed="false">
      <c r="A6" s="22" t="s">
        <v>69</v>
      </c>
      <c r="B6" s="22" t="s">
        <v>579</v>
      </c>
      <c r="C6" s="23" t="s">
        <v>583</v>
      </c>
      <c r="D6" s="23" t="s">
        <v>446</v>
      </c>
      <c r="E6" s="23" t="s">
        <v>584</v>
      </c>
      <c r="F6" s="23" t="s">
        <v>585</v>
      </c>
      <c r="G6" s="22"/>
    </row>
    <row r="7" customFormat="false" ht="23.85" hidden="false" customHeight="false" outlineLevel="0" collapsed="false">
      <c r="A7" s="22" t="s">
        <v>69</v>
      </c>
      <c r="B7" s="22" t="s">
        <v>19</v>
      </c>
      <c r="C7" s="23" t="s">
        <v>586</v>
      </c>
      <c r="D7" s="23" t="s">
        <v>440</v>
      </c>
      <c r="E7" s="23" t="s">
        <v>587</v>
      </c>
      <c r="F7" s="22" t="s">
        <v>588</v>
      </c>
      <c r="G7" s="22"/>
    </row>
    <row r="8" customFormat="false" ht="15" hidden="false" customHeight="false" outlineLevel="0" collapsed="false">
      <c r="A8" s="53"/>
      <c r="B8" s="53"/>
      <c r="C8" s="53"/>
      <c r="D8" s="53"/>
      <c r="E8" s="53"/>
      <c r="F8" s="53"/>
      <c r="G8" s="53"/>
    </row>
    <row r="9" customFormat="false" ht="15" hidden="false" customHeight="false" outlineLevel="0" collapsed="false">
      <c r="A9" s="53"/>
      <c r="B9" s="53"/>
      <c r="C9" s="53"/>
      <c r="D9" s="53"/>
      <c r="E9" s="53"/>
      <c r="F9" s="53"/>
      <c r="G9" s="53"/>
    </row>
    <row r="10" customFormat="false" ht="15" hidden="false" customHeight="false" outlineLevel="0" collapsed="false">
      <c r="A10" s="53"/>
      <c r="B10" s="53"/>
      <c r="C10" s="53"/>
      <c r="D10" s="53"/>
      <c r="E10" s="53"/>
      <c r="F10" s="53"/>
      <c r="G10" s="53"/>
    </row>
    <row r="11" customFormat="false" ht="15" hidden="false" customHeight="false" outlineLevel="0" collapsed="false">
      <c r="A11" s="53"/>
      <c r="B11" s="53"/>
      <c r="C11" s="53"/>
      <c r="D11" s="53"/>
      <c r="E11" s="53"/>
      <c r="F11" s="53"/>
      <c r="G11" s="53"/>
    </row>
    <row r="12" customFormat="false" ht="15" hidden="false" customHeight="false" outlineLevel="0" collapsed="false">
      <c r="A12" s="53"/>
      <c r="B12" s="53"/>
      <c r="C12" s="53"/>
      <c r="D12" s="53"/>
      <c r="E12" s="53"/>
      <c r="F12" s="53"/>
      <c r="G12" s="53"/>
    </row>
    <row r="13" customFormat="false" ht="15" hidden="false" customHeight="false" outlineLevel="0" collapsed="false">
      <c r="A13" s="53"/>
      <c r="B13" s="53"/>
      <c r="C13" s="53"/>
      <c r="D13" s="53"/>
      <c r="E13" s="53"/>
      <c r="F13" s="53"/>
      <c r="G13" s="53"/>
    </row>
    <row r="14" customFormat="false" ht="15" hidden="false" customHeight="false" outlineLevel="0" collapsed="false">
      <c r="A14" s="53"/>
      <c r="B14" s="53"/>
      <c r="C14" s="53"/>
      <c r="D14" s="53"/>
      <c r="E14" s="53"/>
      <c r="F14" s="53"/>
      <c r="G14" s="53"/>
    </row>
    <row r="15" customFormat="false" ht="15" hidden="false" customHeight="false" outlineLevel="0" collapsed="false">
      <c r="A15" s="53"/>
      <c r="B15" s="53"/>
      <c r="C15" s="53"/>
      <c r="D15" s="53"/>
      <c r="E15" s="53"/>
      <c r="F15" s="53"/>
      <c r="G15" s="53"/>
    </row>
    <row r="16" customFormat="false" ht="15" hidden="false" customHeight="false" outlineLevel="0" collapsed="false">
      <c r="A16" s="53"/>
      <c r="B16" s="53"/>
      <c r="C16" s="53"/>
      <c r="D16" s="53"/>
      <c r="E16" s="53"/>
      <c r="F16" s="53"/>
      <c r="G16" s="53"/>
    </row>
    <row r="17" customFormat="false" ht="15" hidden="false" customHeight="false" outlineLevel="0" collapsed="false">
      <c r="A17" s="53"/>
      <c r="B17" s="53"/>
      <c r="C17" s="53"/>
      <c r="D17" s="53"/>
      <c r="E17" s="53"/>
      <c r="F17" s="53"/>
      <c r="G17" s="53"/>
    </row>
    <row r="18" customFormat="false" ht="15" hidden="false" customHeight="false" outlineLevel="0" collapsed="false">
      <c r="A18" s="53"/>
      <c r="B18" s="53"/>
      <c r="C18" s="53"/>
      <c r="D18" s="53"/>
      <c r="E18" s="53"/>
      <c r="F18" s="53"/>
      <c r="G18" s="53"/>
    </row>
    <row r="19" customFormat="false" ht="15" hidden="false" customHeight="false" outlineLevel="0" collapsed="false">
      <c r="A19" s="53"/>
      <c r="B19" s="53"/>
      <c r="C19" s="53"/>
      <c r="D19" s="53"/>
      <c r="E19" s="53"/>
      <c r="F19" s="53"/>
      <c r="G19" s="53"/>
    </row>
    <row r="20" customFormat="false" ht="15" hidden="false" customHeight="false" outlineLevel="0" collapsed="false">
      <c r="A20" s="53"/>
      <c r="B20" s="53"/>
      <c r="C20" s="53"/>
      <c r="D20" s="53"/>
      <c r="E20" s="53"/>
      <c r="F20" s="53"/>
      <c r="G20" s="53"/>
    </row>
    <row r="21" customFormat="false" ht="15" hidden="false" customHeight="false" outlineLevel="0" collapsed="false">
      <c r="A21" s="53"/>
      <c r="B21" s="53"/>
      <c r="C21" s="53"/>
      <c r="D21" s="53"/>
      <c r="E21" s="53"/>
      <c r="F21" s="53"/>
      <c r="G21" s="53"/>
    </row>
    <row r="22" customFormat="false" ht="15" hidden="false" customHeight="false" outlineLevel="0" collapsed="false">
      <c r="A22" s="53"/>
      <c r="B22" s="53"/>
      <c r="C22" s="53"/>
      <c r="D22" s="53"/>
      <c r="E22" s="53"/>
      <c r="F22" s="53"/>
      <c r="G22" s="53"/>
    </row>
    <row r="23" customFormat="false" ht="15" hidden="false" customHeight="false" outlineLevel="0" collapsed="false">
      <c r="A23" s="53"/>
      <c r="B23" s="53"/>
      <c r="C23" s="53"/>
      <c r="D23" s="53"/>
      <c r="E23" s="53"/>
      <c r="F23" s="53"/>
      <c r="G23" s="53"/>
    </row>
    <row r="24" customFormat="false" ht="15" hidden="false" customHeight="false" outlineLevel="0" collapsed="false">
      <c r="A24" s="53"/>
      <c r="B24" s="53"/>
      <c r="C24" s="53"/>
      <c r="D24" s="53"/>
      <c r="E24" s="53"/>
      <c r="F24" s="53"/>
      <c r="G24" s="53"/>
    </row>
    <row r="25" customFormat="false" ht="15" hidden="false" customHeight="false" outlineLevel="0" collapsed="false">
      <c r="A25" s="53"/>
      <c r="B25" s="53"/>
      <c r="C25" s="53"/>
      <c r="D25" s="53"/>
      <c r="E25" s="53"/>
      <c r="F25" s="53"/>
      <c r="G25" s="53"/>
    </row>
    <row r="26" customFormat="false" ht="15" hidden="false" customHeight="false" outlineLevel="0" collapsed="false">
      <c r="A26" s="53"/>
      <c r="B26" s="53"/>
      <c r="C26" s="53"/>
      <c r="D26" s="53"/>
      <c r="E26" s="53"/>
      <c r="F26" s="53"/>
      <c r="G26" s="53"/>
    </row>
    <row r="27" customFormat="false" ht="15" hidden="false" customHeight="false" outlineLevel="0" collapsed="false">
      <c r="A27" s="53"/>
      <c r="B27" s="53"/>
      <c r="C27" s="53"/>
      <c r="D27" s="53"/>
      <c r="E27" s="53"/>
      <c r="F27" s="53"/>
      <c r="G27" s="53"/>
    </row>
    <row r="30" customFormat="false" ht="15" hidden="false" customHeight="false" outlineLevel="0" collapsed="false">
      <c r="A30" s="63" t="s">
        <v>589</v>
      </c>
    </row>
    <row r="32" customFormat="false" ht="28.35" hidden="false" customHeight="false" outlineLevel="0" collapsed="false">
      <c r="A32" s="64" t="s">
        <v>590</v>
      </c>
      <c r="B32" s="64" t="s">
        <v>591</v>
      </c>
    </row>
    <row r="33" customFormat="false" ht="68.65" hidden="false" customHeight="false" outlineLevel="0" collapsed="false">
      <c r="A33" s="65" t="s">
        <v>592</v>
      </c>
      <c r="B33" s="23" t="s">
        <v>593</v>
      </c>
    </row>
    <row r="34" customFormat="false" ht="46.25" hidden="false" customHeight="false" outlineLevel="0" collapsed="false">
      <c r="A34" s="65" t="s">
        <v>594</v>
      </c>
      <c r="B34" s="23" t="s">
        <v>595</v>
      </c>
    </row>
    <row r="35" customFormat="false" ht="46.25" hidden="false" customHeight="false" outlineLevel="0" collapsed="false">
      <c r="A35" s="65" t="s">
        <v>596</v>
      </c>
      <c r="B35" s="23" t="s">
        <v>597</v>
      </c>
    </row>
    <row r="36" customFormat="false" ht="46.25" hidden="false" customHeight="false" outlineLevel="0" collapsed="false">
      <c r="A36" s="65" t="s">
        <v>598</v>
      </c>
      <c r="B36" s="22" t="s">
        <v>599</v>
      </c>
    </row>
    <row r="37" customFormat="false" ht="46.25" hidden="false" customHeight="false" outlineLevel="0" collapsed="false">
      <c r="A37" s="66" t="s">
        <v>453</v>
      </c>
      <c r="B37" s="23" t="s">
        <v>600</v>
      </c>
    </row>
    <row r="38" customFormat="false" ht="57.45" hidden="false" customHeight="false" outlineLevel="0" collapsed="false">
      <c r="A38" s="65" t="s">
        <v>601</v>
      </c>
      <c r="B38" s="23" t="s">
        <v>602</v>
      </c>
    </row>
    <row r="39" customFormat="false" ht="46.25" hidden="false" customHeight="false" outlineLevel="0" collapsed="false">
      <c r="A39" s="65" t="s">
        <v>603</v>
      </c>
      <c r="B39" s="22" t="s">
        <v>604</v>
      </c>
    </row>
    <row r="40" customFormat="false" ht="46.25" hidden="false" customHeight="false" outlineLevel="0" collapsed="false">
      <c r="A40" s="65" t="s">
        <v>605</v>
      </c>
      <c r="B40" s="23" t="s">
        <v>606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2026-04-15T03:46:51Z</dcterms:created>
  <dc:creator>openpyxl</dc:creator>
  <dc:description/>
  <dc:language>en-US</dc:language>
  <cp:lastModifiedBy/>
  <dcterms:modified xsi:type="dcterms:W3CDTF">2026-04-16T22:34:47Z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